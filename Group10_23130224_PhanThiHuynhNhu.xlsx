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est case List" sheetId="2" r:id="rId6"/>
    <sheet state="visible" name="TestDesign" sheetId="3" r:id="rId7"/>
    <sheet state="visible" name="Tìm kiếm chuyến bay" sheetId="4" r:id="rId8"/>
    <sheet state="visible" name="Xem danh sách và chọn chuyến ba" sheetId="5" r:id="rId9"/>
    <sheet state="visible" name="Đặt chỗ và thanh toán" sheetId="6" r:id="rId10"/>
    <sheet state="visible" name="Test Report" sheetId="7" r:id="rId11"/>
  </sheets>
  <definedNames>
    <definedName name="LOCAL_DATE_SEPARATOR">#REF!</definedName>
    <definedName localSheetId="2" name="_Toc301930478">TestDesign!$B$378</definedName>
    <definedName name="ACTION">#REF!</definedName>
    <definedName localSheetId="2" name="_Toc301930468">TestDesign!$B$218</definedName>
    <definedName name="LOCAL_DAY_FORMAT">#REF!</definedName>
    <definedName name="LOCAL_SECOND_FORMAT">#REF!</definedName>
    <definedName name="LOCAL_MONTH_FORMAT">#REF!</definedName>
    <definedName name="LOCAL_TIME_SEPARATOR">#REF!</definedName>
    <definedName name="LOCAL_MINUTE_FORMAT">#REF!</definedName>
    <definedName name="LOCAL_YEAR_FORMAT">#REF!</definedName>
    <definedName name="LOCAL_HOUR_FORMAT">#REF!</definedName>
    <definedName hidden="1" localSheetId="2" name="_xlnm._FilterDatabase">TestDesign!$A$1:$F$869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tc={6b36ae1b-d2a4-4b7e-822b-77327e7f2a35}</author>
    <author>tc={c3bbb381-315f-482f-baff-3cb91c8b1ed2}</author>
  </authors>
  <commentList>
    <comment authorId="0" xr:uid="{6b36ae1b-d2a4-4b7e-822b-77327e7f2a35}" ref="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*A: Add
  M: Modify
  D: Delete
</t>
      </text>
    </comment>
    <comment authorId="1" xr:uid="{c3bbb381-315f-482f-baff-3cb91c8b1e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Fail
Untested
N/A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tc={c791eb51-c2dd-4c08-9fd3-9311b51c03ad}</author>
  </authors>
  <commentList>
    <comment authorId="0" xr:uid="{c791eb51-c2dd-4c08-9fd3-9311b51c03ad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Fail
Untested
N/A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tc={c405ada2-4913-4a95-92fa-16c697e2c522}</author>
  </authors>
  <commentList>
    <comment authorId="0" xr:uid="{c405ada2-4913-4a95-92fa-16c697e2c522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Fail
Untested
N/A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tc={70b309ba-8313-4927-8dad-d5978497a097}</author>
  </authors>
  <commentList>
    <comment authorId="0" xr:uid="{70b309ba-8313-4927-8dad-d5978497a097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
Fail
Untested
N/A
</t>
      </text>
    </comment>
  </commentList>
</comments>
</file>

<file path=xl/sharedStrings.xml><?xml version="1.0" encoding="utf-8"?>
<sst xmlns="http://schemas.openxmlformats.org/spreadsheetml/2006/main" count="843" uniqueCount="557">
  <si>
    <t>Requirement Level 1</t>
  </si>
  <si>
    <t>Requirement Level 2</t>
  </si>
  <si>
    <t>Requirement Level 3</t>
  </si>
  <si>
    <t>Test Criteria</t>
  </si>
  <si>
    <t>Test Type</t>
  </si>
  <si>
    <t>Note</t>
  </si>
  <si>
    <t>TEST CASE LIST</t>
  </si>
  <si>
    <t>1.1 Tìm kiếm chuyến bay</t>
  </si>
  <si>
    <t>1.1.1 Điều hướng &amp; Giao diện</t>
  </si>
  <si>
    <t>Hiển thị menu Vé máy bay</t>
  </si>
  <si>
    <t>Kiểm tra hiển thị icon/menu "Vé máy bay" trên Trang chủ Traveloka</t>
  </si>
  <si>
    <t>GUI</t>
  </si>
  <si>
    <t>Đúng vị trí header chính</t>
  </si>
  <si>
    <t>Project Name</t>
  </si>
  <si>
    <t>Truy cập trang tìm kiếm</t>
  </si>
  <si>
    <t>Kiểm tra click chọn "Vé máy bay" chuyển hướng sang giao diện Tìm kiếm</t>
  </si>
  <si>
    <t>Function</t>
  </si>
  <si>
    <t>Tải đầy đủ form tìm kiếm</t>
  </si>
  <si>
    <t>TEST CASE</t>
  </si>
  <si>
    <t>Bố cục Form tìm kiếm</t>
  </si>
  <si>
    <t>Kiểm tra bố cục giao diện chính của form Đặt vé máy bay</t>
  </si>
  <si>
    <t>Hiển thị đủ các trường dữ liệu</t>
  </si>
  <si>
    <t>1.1.2 Loại chuyến bay</t>
  </si>
  <si>
    <t>Mặc định loại chuyến bay</t>
  </si>
  <si>
    <t>Kiểm tra mặc định chọn loại vé "Một chiều" khi mới truy cập trang</t>
  </si>
  <si>
    <t>Trường Ngày về bị disabled</t>
  </si>
  <si>
    <t>Chuyển sang Khứ hồi</t>
  </si>
  <si>
    <t>Kiểm tra chuyển đổi từ loại vé "Một chiều" sang "Khứ hồi"</t>
  </si>
  <si>
    <t>Kích hoạt trường chọn Ngày về</t>
  </si>
  <si>
    <t>Chuyển về Một chiều</t>
  </si>
  <si>
    <t>Kiểm tra chuyển đổi từ loại vé "Khứ hồi" về "Một chiều"</t>
  </si>
  <si>
    <t>Ẩn/disabled Ngày về và xóa dữ liệu đã chọn</t>
  </si>
  <si>
    <t>1.1.3 Chọn Điểm đi &amp; Điểm đến</t>
  </si>
  <si>
    <t>Gợi ý có dấu</t>
  </si>
  <si>
    <t>Kiểm tra hiển thị danh sách gợi ý khi nhập từ khóa thành phố/sân bay tiếng Việt có dấu</t>
  </si>
  <si>
    <t>Hiển thị gợi ý sân bay phù hợp</t>
  </si>
  <si>
    <t>Traveloka - Tìm kiếm chuyến bay</t>
  </si>
  <si>
    <t>Gợi ý không dấu</t>
  </si>
  <si>
    <t>Kiểm tra hiển thị danh sách gợi ý khi nhập từ khóa không dấu</t>
  </si>
  <si>
    <t>Tìm kiếm linh hoạt theo từ khóa</t>
  </si>
  <si>
    <t>Gợi ý mã IATA</t>
  </si>
  <si>
    <t>Creator</t>
  </si>
  <si>
    <t>Kiểm tra gợi ý chuẩn xác khi nhập mã IATA của sân bay</t>
  </si>
  <si>
    <t>Mã sân bay 3 ký tự (VD: DAD, SGN, HAN)</t>
  </si>
  <si>
    <t>Phan Thị Huỳnh Như</t>
  </si>
  <si>
    <t>Nhập địa điểm không tồn tại</t>
  </si>
  <si>
    <t>Kiểm tra nhập từ khóa địa điểm không tồn tại</t>
  </si>
  <si>
    <t>Validation</t>
  </si>
  <si>
    <t>Hiển thị thông báo không tìm thấy kết quả</t>
  </si>
  <si>
    <t>Project Code</t>
  </si>
  <si>
    <t>TVL_FL_SEARCH</t>
  </si>
  <si>
    <t>Reviewer/Approver</t>
  </si>
  <si>
    <t>Nút xóa nhanh [X]</t>
  </si>
  <si>
    <t>Kiểm tra nút xóa nhanh (icon [X]) tại ô Điểm đi / Điểm đến</t>
  </si>
  <si>
    <t>Trần Thị B</t>
  </si>
  <si>
    <t>Khôi phục về trạng thái placeholder</t>
  </si>
  <si>
    <t>Nút hoán đổi [⇆]</t>
  </si>
  <si>
    <t>Kiểm tra chức năng hoán đổi [⇆] vị trí giữa Điểm đi và Điểm đến</t>
  </si>
  <si>
    <t>Tráo đổi vị trí dữ liệu 2 ô</t>
  </si>
  <si>
    <t>Document Code</t>
  </si>
  <si>
    <t>Điểm trùng nhau</t>
  </si>
  <si>
    <t>Kiểm tra không cho phép tìm kiếm khi Điểm đi trùng với Điểm đến</t>
  </si>
  <si>
    <t>Báo lỗi trùng điểm đi và điểm đến</t>
  </si>
  <si>
    <t>1.1.4 Chọn Ngày bay</t>
  </si>
  <si>
    <t>Chọn Ngày đi hợp lệ</t>
  </si>
  <si>
    <t>Kiểm tra chọn Ngày đi hợp lệ trong tương lai</t>
  </si>
  <si>
    <t>Hiển thị đúng định dạng ngày</t>
  </si>
  <si>
    <t>Chặn ngày quá khứ</t>
  </si>
  <si>
    <t>Kiểm tra không cho phép chọn Ngày đi hoặc Ngày về trong quá khứ</t>
  </si>
  <si>
    <t>Các ngày quá khứ bị mờ/disabled</t>
  </si>
  <si>
    <t>Test Environment Setup Description</t>
  </si>
  <si>
    <t>Tự động gợi ý Ngày về</t>
  </si>
  <si>
    <t>Kiểm tra tự động thiết lập Ngày về mặc định khi chọn vé Khứ hồi</t>
  </si>
  <si>
    <t>Gợi ý Ngày về &gt;= Ngày đi</t>
  </si>
  <si>
    <t>Ngày về trước Ngày đi</t>
  </si>
  <si>
    <t>Kiểm tra vé khứ hồi báo lỗi khi chọn Ngày về trước Ngày đi</t>
  </si>
  <si>
    <t>Ràng buộc logic thời gian bay</t>
  </si>
  <si>
    <t xml:space="preserve">
1. Automation Testing Tool: Katalon Studio
2. Programming Language: Groovy / Java
3. Web Browsers: Google Chrome, Microsoft Edge
4. Application Under Test: Traveloka Flight Module
5. OS: Windows 11 / macOS</t>
  </si>
  <si>
    <t>Bay và về cùng ngày</t>
  </si>
  <si>
    <t>Kiểm tra chọn Ngày đi và Ngày về trùng nhau đối meo đối với vé Khứ hồi</t>
  </si>
  <si>
    <t>Cho phép bay và về trong ngày</t>
  </si>
  <si>
    <t>1.1.5 Chọn Số hành khách &amp; Hạng ghế</t>
  </si>
  <si>
    <t>Tăng/giảm Người lớn</t>
  </si>
  <si>
    <t>Kiểm tra thay đổi số lượng hành khách Người lớn bằng nút [+] và [-]</t>
  </si>
  <si>
    <t>Số người lớn tối thiểu là 1</t>
  </si>
  <si>
    <t>Ràng buộc Em bé</t>
  </si>
  <si>
    <t>Kiểm tra không cho phép số lượng Em bé nhiều hơn số lượng Người lớn</t>
  </si>
  <si>
    <t>Quy định an toàn hàng không (tối đa 1 em bé/người lớn)</t>
  </si>
  <si>
    <t>Issue Date</t>
  </si>
  <si>
    <t>Giới hạn tổng khách</t>
  </si>
  <si>
    <t>Kiểm tra giới hạn tổng số lượng hành khách tối đa 9 người/lần đặt</t>
  </si>
  <si>
    <t>Boundary</t>
  </si>
  <si>
    <t>Giới hạn tối đa 9 khách/đơn đặt</t>
  </si>
  <si>
    <t>Chọn Hạng ghế</t>
  </si>
  <si>
    <t>Kiểm tra chọn các Hạng ghế (Phổ thông, Phổ thông đặc biệt, Thương gia, Hạng nhất)</t>
  </si>
  <si>
    <t>Cập nhật đúng tên hạng ghế đã chọn</t>
  </si>
  <si>
    <t>1.1.6 Thực thi Tìm kiếm</t>
  </si>
  <si>
    <t>Tìm kiếm Một chiều</t>
  </si>
  <si>
    <t>Kiểm tra tìm kiếm thành công với dữ liệu một chiều hợp lệ</t>
  </si>
  <si>
    <t>Chuyển sang trang danh sách chuyến bay</t>
  </si>
  <si>
    <t>Version</t>
  </si>
  <si>
    <t>Tìm kiếm Khứ hồi</t>
  </si>
  <si>
    <t>Kiểm tra tìm kiếm thành công với dữ liệu khứ hồi hợp lệ</t>
  </si>
  <si>
    <t>Chuyển sang trang danh sách đi và về</t>
  </si>
  <si>
    <t>Bỏ trống thông tin</t>
  </si>
  <si>
    <t>Kiểm tra báo lỗi khi để trống trường bắt buộc (Điểm đi / Điểm đến / Ngày đi)</t>
  </si>
  <si>
    <t>Hiển thị cảnh báo đỏ tại trường trống</t>
  </si>
  <si>
    <t>1.2 Xem danh sách &amp; Chọn chuyến bay</t>
  </si>
  <si>
    <t>1.2.1 Hiển thị thông tin tổng quan</t>
  </si>
  <si>
    <t>Hiển thị thẻ chuyến bay</t>
  </si>
  <si>
    <t>Kiểm tra hiển thị đầy đủ thông tin trên thẻ chuyến bay kết quả</t>
  </si>
  <si>
    <t>Hiển thị đủ logo, thời gian, loại chuyến và giá</t>
  </si>
  <si>
    <t>Số lượng chuyến bay</t>
  </si>
  <si>
    <t>Kiểm tra hiển thị số lượng tổng các chuyến bay tìm thấy</t>
  </si>
  <si>
    <t>Hiển thị đúng tổng số chuyến bay tìm thấy</t>
  </si>
  <si>
    <t>Record of change</t>
  </si>
  <si>
    <t>No</t>
  </si>
  <si>
    <t>Module Code</t>
  </si>
  <si>
    <t>Thanh chọn ngày nhanh</t>
  </si>
  <si>
    <t>Kiểm tra chuyển đổi ngày bay từ Thanh chọn ngày nhanh (Date Strip)</t>
  </si>
  <si>
    <t>Tải lại danh sách chuyến bay của ngày mới</t>
  </si>
  <si>
    <t>Function Name</t>
  </si>
  <si>
    <t>Sheet Name</t>
  </si>
  <si>
    <t>Effective Date</t>
  </si>
  <si>
    <t>1.2.2 Lọc theo Số điểm dừng &amp; Hãng bay</t>
  </si>
  <si>
    <t>Lọc Bay thẳng</t>
  </si>
  <si>
    <t>Description</t>
  </si>
  <si>
    <t>Kiểm tra lọc danh sách chỉ hiển thị chuyến "Bay thẳng"</t>
  </si>
  <si>
    <t>Flight_Search</t>
  </si>
  <si>
    <t>Chỉ hiển thị chuyến bay 0 điểm dừng</t>
  </si>
  <si>
    <t>Pre-Condition</t>
  </si>
  <si>
    <t>Lọc 1 điểm dừng</t>
  </si>
  <si>
    <t>Kiểm tra lọc danh sách chuyến bay có "1 điểm dừng"</t>
  </si>
  <si>
    <t>Chỉ hiển thị chuyến bay quá cảnh 1 điểm</t>
  </si>
  <si>
    <t>Change Item</t>
  </si>
  <si>
    <t>*A,D,M</t>
  </si>
  <si>
    <t>Change description</t>
  </si>
  <si>
    <t>Lọc 2+ điểm dừng</t>
  </si>
  <si>
    <t>Reference</t>
  </si>
  <si>
    <t>Kiểm tra lọc danh sách chuyến bay có "2+ điểm dừng"</t>
  </si>
  <si>
    <t>Passed</t>
  </si>
  <si>
    <t>Hiển thị chuyến bay từ 2 điểm quá cảnh trở lên</t>
  </si>
  <si>
    <t>Tìm kiếm chuyến bay</t>
  </si>
  <si>
    <t>Lọc 1 Hãng hàng không</t>
  </si>
  <si>
    <t>Kiểm tra lọc theo 1 Hãng hàng không cụ thể (VD: Vietnam Airlines)</t>
  </si>
  <si>
    <t>Test requirement</t>
  </si>
  <si>
    <t>Chỉ hiển thị chuyến bay của 1 hãng chọn</t>
  </si>
  <si>
    <t>Lọc nhiều Hãng bay</t>
  </si>
  <si>
    <t>Kiểm tra lọc đồng thời nhiều Hãng hàng không</t>
  </si>
  <si>
    <t>Hiển thị chuyến bay thuộc các hãng đã tích</t>
  </si>
  <si>
    <t>0.1</t>
  </si>
  <si>
    <t>Failed</t>
  </si>
  <si>
    <t>Bỏ chọn lọc Hãng bay</t>
  </si>
  <si>
    <t>Kiểm tra bỏ tích chọn bộ lọc Hãng bay</t>
  </si>
  <si>
    <t>Khôi phục hiển thị đầy đủ các hãng</t>
  </si>
  <si>
    <t>A</t>
  </si>
  <si>
    <t>Tester</t>
  </si>
  <si>
    <t>Phan Thi Huynh Nhu</t>
  </si>
  <si>
    <t>Tạo 25 Test Case cho chức năng tìm kiếm chuyến bay</t>
  </si>
  <si>
    <t>1.2.3 Lọc theo Khung giờ &amp; Khoảng giá</t>
  </si>
  <si>
    <t>Lọc Giờ cất cánh</t>
  </si>
  <si>
    <t>Kiểm tra lọc theo Khung giờ cất cánh (Buổi sáng / Buổi trưa / Buổi chiều)</t>
  </si>
  <si>
    <t>Chỉ hiển thị chuyến bay khởi hành trong khung giờ</t>
  </si>
  <si>
    <t>TestDesign</t>
  </si>
  <si>
    <t>Lọc Giờ hạ cánh</t>
  </si>
  <si>
    <t>Blocked</t>
  </si>
  <si>
    <t>Kiểm tra lọc theo Khung giờ hạ cánh</t>
  </si>
  <si>
    <t>Chỉ hiển thị chuyến bay hạ cánh trong khung giờ</t>
  </si>
  <si>
    <t>Lọc Khoảng giá vé</t>
  </si>
  <si>
    <t>Kiểm tra lọc theo thanh trượt Khoảng giá vé (Price Slider)</t>
  </si>
  <si>
    <t>Giá các chuyến bay &lt;= giá đã kéo</t>
  </si>
  <si>
    <t>Kiểm tra form tìm kiếm, chọn điểm đi/đến, ngày bay, hành khách, hạng ghế và thực thi tìm kiếm</t>
  </si>
  <si>
    <t>Lọc kết hợp đa tiêu chí</t>
  </si>
  <si>
    <t>Kiểm tra kết hợp đồng thời nhiều bộ lọc (Hãng bay + Khung giờ + Khoảng giá)</t>
  </si>
  <si>
    <t>Hiển thị chuyến bay thỏa mãn đồng thời tất cả tiêu chí</t>
  </si>
  <si>
    <t>Đã truy cập Trang chủ Traveloka và mở giao diện Đặt vé máy bay</t>
  </si>
  <si>
    <t>Untested</t>
  </si>
  <si>
    <t>Lọc không có kết quả</t>
  </si>
  <si>
    <t>Skipped</t>
  </si>
  <si>
    <t>Kiểm tra kết quả khi áp dụng bộ lọc không có chuyến bay phù hợp</t>
  </si>
  <si>
    <t>Hiển thị màn hình trống kèm nút Đặt lại</t>
  </si>
  <si>
    <t>Number of Test cases</t>
  </si>
  <si>
    <t>Xem danh sách &amp; Chọn chuyến bay</t>
  </si>
  <si>
    <t>Đặt lại bộ lọc</t>
  </si>
  <si>
    <t>Kiểm tra chức năng [Đặt lại / Reset Filter]</t>
  </si>
  <si>
    <t>Xem danh sách và chọn chuyến bay</t>
  </si>
  <si>
    <t>Xóa toàn bộ bộ lọc và hiển thị danh sách ban đầu</t>
  </si>
  <si>
    <t>1.2.4 Sắp xếp danh sách</t>
  </si>
  <si>
    <t>Sắp xếp Giá tăng dần</t>
  </si>
  <si>
    <t>Kiểm tra sắp xếp danh sách theo Giá từ thấp đến cao (Mặc định)</t>
  </si>
  <si>
    <t>Kiểm tra hiển thị danh sách, bộ lọc, sắp xếp, xem chi tiết và chọn hạng vé</t>
  </si>
  <si>
    <t>Hiển thị giá tăng dần từ trên xuống</t>
  </si>
  <si>
    <t>Đã hoàn thành tìm kiếm chuyến bay hợp lệ</t>
  </si>
  <si>
    <t>Sắp xếp Giá giảm dần</t>
  </si>
  <si>
    <t>Kiểm tra sắp xếp danh sách theo Giá từ cao đến thấp</t>
  </si>
  <si>
    <t>Hiển thị giá giảm dần từ trên xuống</t>
  </si>
  <si>
    <t>Sắp xếp Giờ cất cánh</t>
  </si>
  <si>
    <t>Đặt chỗ &amp; Thanh toán</t>
  </si>
  <si>
    <t>Kiểm tra sắp xếp theo Giờ cất cánh sớm nhất / muộn nhất</t>
  </si>
  <si>
    <t>Sắp xếp theo mốc thời gian cất cánh</t>
  </si>
  <si>
    <t>Đặt chỗ và thanh toán</t>
  </si>
  <si>
    <t>Sắp xếp Thời gian bay</t>
  </si>
  <si>
    <t>Kiểm tra sắp xếp theo Thời gian bay ngắn nhất</t>
  </si>
  <si>
    <t>Ưu tiên chuyến bay có tổng thời gian bay ngắn nhất</t>
  </si>
  <si>
    <t>Kiểm tra điền thông tin hành khách, dịch vụ bổ sung, mã giảm giá và chọn phương thức thanh toán</t>
  </si>
  <si>
    <t>1.2.5 Xem chi tiết &amp; Hạng vé</t>
  </si>
  <si>
    <t>Đã chọn thành công chuyến bay mong muốn</t>
  </si>
  <si>
    <t>Popup Chi tiết chuyến bay</t>
  </si>
  <si>
    <t>Kiểm tra hiển thị popup Chi tiết chuyến bay (Flight Details)</t>
  </si>
  <si>
    <t>Hiển thị sơ đồ chặng bay, thời gian quá cảnh</t>
  </si>
  <si>
    <t>Hành lý &amp; Điều kiện vé</t>
  </si>
  <si>
    <t>Kiểm tra hiển thị thông tin Hành lý và Điều kiện/Chính sách vé</t>
  </si>
  <si>
    <t>GUI / Business Rule</t>
  </si>
  <si>
    <t>Hiển thị rõ hạn mức hành lý và phí đổi/hoàn</t>
  </si>
  <si>
    <t>Chọn Hạng vé / Gói tiện ích</t>
  </si>
  <si>
    <t>Kiểm tra chọn các Gói tiện ích / Hạng vé khác nhau (Fare Class)</t>
  </si>
  <si>
    <t>Cập nhật lại tổng tiền và quyền lợi tương ứng</t>
  </si>
  <si>
    <t>1.2.6 Thực thi Chọn chuyến bay</t>
  </si>
  <si>
    <t>Chọn chuyến Khứ hồi</t>
  </si>
  <si>
    <t>Kiểm tra chọn chuyến bay Lượt đi và Lượt về đối với vé Khứ hồi</t>
  </si>
  <si>
    <t>Ghi nhận 2 lượt và hiện thanh Tóm tắt</t>
  </si>
  <si>
    <t>Chuyển sang Nhập thông tin</t>
  </si>
  <si>
    <t>Kiểm tra click nút [Chọn / Select] chuyển sang trang Nhập thông tin</t>
  </si>
  <si>
    <t>Chuyển hướng thành công sang màn hình Đặt chỗ</t>
  </si>
  <si>
    <t>1.3 Đặt chỗ &amp; Thanh toán</t>
  </si>
  <si>
    <t>1.3.1 Màn hình &amp; Thông tin hành khách</t>
  </si>
  <si>
    <t>Giao diện Đặt chỗ</t>
  </si>
  <si>
    <t>Kiểm tra hiển thị giao diện Màn hình Nhập thông tin đặt chỗ</t>
  </si>
  <si>
    <t>Hiển thị đầy đủ các form liên hệ, hành khách và tóm tắt</t>
  </si>
  <si>
    <t>Nhập thông tin hợp lệ</t>
  </si>
  <si>
    <t>Kiểm tra nhập đầy đủ và hợp lệ Thông tin người liên hệ và Hành khách</t>
  </si>
  <si>
    <t>Lưu thông tin hợp lệ không báo lỗi</t>
  </si>
  <si>
    <t>Bỏ trống thông tin bắt buộc</t>
  </si>
  <si>
    <t>Kiểm tra báo lỗi khi để trống các trường thông tin bắt buộc</t>
  </si>
  <si>
    <t>Cảnh báo lỗi đỏ tại các trường bị trống</t>
  </si>
  <si>
    <t>Email sai định dạng</t>
  </si>
  <si>
    <t>Kiểm tra báo lỗi khi nhập Email sai định dạng (Thiếu @ hoặc tên miền)</t>
  </si>
  <si>
    <t>Báo lỗi email không hợp lệ</t>
  </si>
  <si>
    <t>SĐT chứa ký tự đặc biệt</t>
  </si>
  <si>
    <t>Kiểm tra báo lỗi khi nhập Số điện thoại chứa ký tự chữ/ký tự đặc biệt</t>
  </si>
  <si>
    <t>Báo lỗi SĐT chỉ chứa chữ số</t>
  </si>
  <si>
    <t>Độ dài SĐT không hợp lệ</t>
  </si>
  <si>
    <t>Kiểm tra báo lỗi khi nhập Số điện thoại không đủ/vượt quá độ dài tiêu chuẩn</t>
  </si>
  <si>
    <t>Độ dài tiêu chuẩn từ 9-11 số</t>
  </si>
  <si>
    <t>Họ tên chứa chữ số</t>
  </si>
  <si>
    <t>Kiểm tra báo lỗi khi nhập Họ tên hành khách chứa chữ số hoặc ký tự đặc biệt</t>
  </si>
  <si>
    <t>Báo lỗi họ tên không hợp lệ</t>
  </si>
  <si>
    <t>Tự động fill người dùng</t>
  </si>
  <si>
    <t>Kiểm tra tự động điền thông tin người dùng đã đăng nhập vào form</t>
  </si>
  <si>
    <t>Tự động điền dữ liệu đã lưu trong tài khoản</t>
  </si>
  <si>
    <t>1.3.2 Dịch vụ bổ sung</t>
  </si>
  <si>
    <t>Mua thêm Hành lý ký gửi</t>
  </si>
  <si>
    <t>Kiểm tra chọn mua thêm gói Hành lý ký gửi (Extra Baggage)</t>
  </si>
  <si>
    <t>Cộng thêm phí hành lý vào tổng tiền</t>
  </si>
  <si>
    <t>Mua Suất ăn &amp; Bảo hiểm</t>
  </si>
  <si>
    <t>Kiểm tra chọn mua Suất ăn hoặc Bảo hiểm chuyến bay</t>
  </si>
  <si>
    <t>Tính chi phí dịch vụ vào đơn hàng</t>
  </si>
  <si>
    <t>1.3.3 Mã giảm giá &amp; Giữ chỗ</t>
  </si>
  <si>
    <t>Áp dụng Voucher hợp lệ</t>
  </si>
  <si>
    <t>Kiểm tra áp dụng Mã giảm giá / Voucher hợp lệ</t>
  </si>
  <si>
    <t>Trừ tiền trực tiếp vào Tổng thanh toán</t>
  </si>
  <si>
    <t>ID</t>
  </si>
  <si>
    <t>Voucher không hợp lệ</t>
  </si>
  <si>
    <t>Kiểm tra áp dụng Mã giảm giá hết hạn, sai mã hoặc không đủ điều kiện</t>
  </si>
  <si>
    <t>Test Case Description</t>
  </si>
  <si>
    <t>Báo lỗi mã không tồn tại hoặc hết hạn</t>
  </si>
  <si>
    <t>Test Case Procedure</t>
  </si>
  <si>
    <t>Expected Output</t>
  </si>
  <si>
    <t>Hủy áp dụng Voucher</t>
  </si>
  <si>
    <t>Kiểm tra hủy áp dụng Mã giảm giá (Remove Voucher)</t>
  </si>
  <si>
    <t>Inter-test case Dependence</t>
  </si>
  <si>
    <t>Khôi phục lại giá trị gốc ban đầu</t>
  </si>
  <si>
    <t>Result</t>
  </si>
  <si>
    <t>Test date</t>
  </si>
  <si>
    <t>Hết thời gian giữ chỗ</t>
  </si>
  <si>
    <t>Kiểm tra hết thời gian giữ chỗ (Session Timeout) khi ở quá lâu tại màn hình đặt chỗ</t>
  </si>
  <si>
    <t>Business Rule</t>
  </si>
  <si>
    <t>Hết hạn phiên làm việc và quay lại trang tìm kiếm</t>
  </si>
  <si>
    <t>1.3.4 Màn hình Thanh toán &amp; Công thức</t>
  </si>
  <si>
    <t>Hiển thị PTTT khả dụng</t>
  </si>
  <si>
    <t>Kiểm tra hiển thị đầy đủ danh sách Phương thức thanh toán khả dụng</t>
  </si>
  <si>
    <t>Hiển thị đủ các cổng ví, thẻ và QR</t>
  </si>
  <si>
    <t>Flight_Search_001</t>
  </si>
  <si>
    <t>Công thức tính tổng tiền</t>
  </si>
  <si>
    <t>Kiểm tra Tóm tắt đơn hàng và Công thức tính tổng tiền thanh toán</t>
  </si>
  <si>
    <t>Tổng = (Giá gốc + Thuế phí + Dịch vụ) - Voucher</t>
  </si>
  <si>
    <t>Quan sát thanh menu điều hướng chính trên Trang chủ.</t>
  </si>
  <si>
    <t>1.3.5 Phương thức thanh toán</t>
  </si>
  <si>
    <t>Thanh toán Ví điện tử</t>
  </si>
  <si>
    <t>Kiểm tra chọn phương thức thanh toán qua Ví điện tử (MoMo / ZaloPay)</t>
  </si>
  <si>
    <t>Icon và menu "Vé máy bay" hiển thị rõ ràng, đúng vị trí và đúng thiết kế.</t>
  </si>
  <si>
    <t>Hiển thị đúng mã QR hoặc giao diện kết nối ví</t>
  </si>
  <si>
    <t>Thanh toán Chuyển khoản QR</t>
  </si>
  <si>
    <t>Kiểm tra chọn phương thức thanh toán qua Chuyển khoản VietQR</t>
  </si>
  <si>
    <t>Tạo mã VietQR động chính xác số tiền</t>
  </si>
  <si>
    <t>Thanh toán Thẻ Quốc tế</t>
  </si>
  <si>
    <t>Kiểm tra chọn phương thức thanh toán Thẻ Quốc tế (Visa/Mastercard)</t>
  </si>
  <si>
    <t>Hiển thị đầy đủ form nhập thông tin thẻ</t>
  </si>
  <si>
    <t>Validation Số thẻ sai</t>
  </si>
  <si>
    <t>Kiểm tra validation nhập Số thẻ Quốc tế sai độ dài hoặc không đủ 16 số</t>
  </si>
  <si>
    <t>Báo lỗi số thẻ không hợp lệ</t>
  </si>
  <si>
    <t>Validation Hạn thẻ quá khứ</t>
  </si>
  <si>
    <t>Kiểm tra validation nhập Ngày hết hạn của Thẻ Quốc tế trong quá khứ</t>
  </si>
  <si>
    <t>Báo lỗi thẻ đã hết hạn</t>
  </si>
  <si>
    <t>Validation Bỏ trống CVC</t>
  </si>
  <si>
    <t>Kiểm tra validation để trống mã CVC/CVV bảo mật của Thẻ Quốc tế</t>
  </si>
  <si>
    <t>Bắt buộc nhập mã CVC/CVV</t>
  </si>
  <si>
    <t>Chưa chọn PTTT</t>
  </si>
  <si>
    <t>Kiểm tra báo lỗi khi bấm Thanh toán nhưng chưa chọn Phương thức thanh toán</t>
  </si>
  <si>
    <t>Cảnh báo yêu cầu chọn 1 PTTT</t>
  </si>
  <si>
    <t>Flight_Search_002</t>
  </si>
  <si>
    <t>1.3.6 Thực thi Thanh toán</t>
  </si>
  <si>
    <t>Quay lại màn hình trước</t>
  </si>
  <si>
    <t>Kiểm tra click nút [Quay lại / Back] tại màn hình Thanh toán</t>
  </si>
  <si>
    <t>Quay lại form nhập và giữ nguyên dữ liệu</t>
  </si>
  <si>
    <t>1. Click chọn menu "Vé máy bay".
2. Quan sát phản hồi của hệ thống.</t>
  </si>
  <si>
    <t>Chống trùng đơn (Double Submission)</t>
  </si>
  <si>
    <t>Kiểm tra vô hiệu hóa nút [Thanh toán] tránh gửi trùng yêu cầu (Double Submission)</t>
  </si>
  <si>
    <t>Function / System</t>
  </si>
  <si>
    <t>Hệ thống chuyển hướng thành công sang giao diện Tìm kiếm chuyến bay.
Giao diện tải đầy đủ thông tin.</t>
  </si>
  <si>
    <t>Chuyển nút sang trạng thái disabled/loading khi click</t>
  </si>
  <si>
    <t>Flight_Search_003</t>
  </si>
  <si>
    <t>Quan sát tổng thể màn hình Trang chủ Vé máy bay.</t>
  </si>
  <si>
    <t>Hiển thị đầy đủ: Form tìm kiếm (Điểm đi, Điểm đến, Ngày đi, Ngày về, Số hành khách, Hạng ghế) và nút [Tìm chuyến bay].</t>
  </si>
  <si>
    <t>Flight_Search_004</t>
  </si>
  <si>
    <t>Quan sát trạng thái mặc định của loại chuyến bay.</t>
  </si>
  <si>
    <t>Hệ thống mặc định chọn loại vé "Một chiều". Ô chọn "Ngày về" bị ẩn hoặc làm mờ (disabled).</t>
  </si>
  <si>
    <t>Flight_Search_005</t>
  </si>
  <si>
    <t>1. Click chọn radio/tab "Khứ hồi".
2. Quan sát ô Ngày về.</t>
  </si>
  <si>
    <t>Trường "Ngày về" chuyển sang trạng thái kích hoạt (enabled) cho phép chọn ngày.</t>
  </si>
  <si>
    <t>Flight_Search_006</t>
  </si>
  <si>
    <t>1. Click chọn lại radio/tab "Một chiều".
2. Quan sát ô Ngày về.</t>
  </si>
  <si>
    <t>Trường "Ngày về" bị ẩn/disabled, dữ liệu ngày về đã chọn trước đó bị xóa bỏ.</t>
  </si>
  <si>
    <t>Flight_Search_007</t>
  </si>
  <si>
    <t>1. Nhập từ khóa (VD: "Hà Nội") vào ô Điểm đi.
2. Quan sát dropdown gợi ý.</t>
  </si>
  <si>
    <t>Hệ thống hiển thị danh sách các sân bay thuộc Hà Nội (VD: Sân bay Quốc tế Nội Bài - HAN).</t>
  </si>
  <si>
    <t>Flight_Search_008</t>
  </si>
  <si>
    <t>1. Nhập từ khóa không dấu (VD: "Ho Chi Minh") vào ô Điểm đến.
2. Quan sát dropdown gợi ý.</t>
  </si>
  <si>
    <t>Hệ thống hiển thị đúng sân bay Tân Sơn Nhất - TP Hồ Chí Minh.</t>
  </si>
  <si>
    <t>Flight_Search_009</t>
  </si>
  <si>
    <t>1. Nhập mã IATA chuẩn (VD: "DAD") vào ô Điểm đến.
2. Quan sát danh sách gợi ý.</t>
  </si>
  <si>
    <t>Gợi ý hiển thị chính xác Sân bay Quốc tế Đà Nẵng - DAD.</t>
  </si>
  <si>
    <t>Flight_Search_010</t>
  </si>
  <si>
    <t>1. Nhập từ khóa vô nghĩa (VD: "@#$123") vào ô Điểm đi.
2. Quan sát dropdown.</t>
  </si>
  <si>
    <t>Hiển thị thông báo "Không tìm thấy kết quả phù hợp" trong dropdown gợi ý.</t>
  </si>
  <si>
    <t>Flight_Search_011</t>
  </si>
  <si>
    <t>1. Chọn Điểm đi là "Hà Nội (HAN)".
2. Click biểu tượng [X] tại ô nhập.</t>
  </si>
  <si>
    <t>Giá trị ô bị xóa sạch, quay trở lại trạng thái placeholder ban đầu.</t>
  </si>
  <si>
    <t>Flight_Search_012</t>
  </si>
  <si>
    <t>1. Chọn Điểm đi (HAN), Điểm đến (SGN).
2. Click vào nút hoán đổi [⇆].</t>
  </si>
  <si>
    <t>Giá trị 2 ô tự động tráo đổi vị trí: Điểm đi thành SGN, Điểm đến thành HAN.</t>
  </si>
  <si>
    <t>Flight_Search_013</t>
  </si>
  <si>
    <t>1. Chọn Điểm đi và Điểm đến cùng là "SGN".
2. Click [Tìm chuyến bay].</t>
  </si>
  <si>
    <t>Hệ thống hiển thị thông báo lỗi "Điểm đi và điểm đến không được giống nhau".</t>
  </si>
  <si>
    <t>Flight_Search_014</t>
  </si>
  <si>
    <t>1. Mở bộ chọn ngày (Calendar).
2. Chọn một ngày hợp lệ trong tương lai (VD: Ngày mai).</t>
  </si>
  <si>
    <t>Ngày đã chọn hiển thị chính xác đúng định dạng trên ô nhập dữ liệu Ngày đi.</t>
  </si>
  <si>
    <t>Flight_Search_015</t>
  </si>
  <si>
    <t>1. Mở bộ chọn ngày (Calendar).
2. Quan sát các ngày trước ngày hiện tại.
3. Thử click chọn 1 ngày trong quá khứ.</t>
  </si>
  <si>
    <t>Các ngày trong quá khứ bị làm mờ (disabled) và không thể click chọn được.</t>
  </si>
  <si>
    <t>Flight_Search_016</t>
  </si>
  <si>
    <t>1. Chọn loại vé Khứ hồi.
2. Chọn Ngày đi là ngày X.</t>
  </si>
  <si>
    <t>Hệ thống tự động gợi ý Ngày về lớn hơn hoặc bằng ngày X.</t>
  </si>
  <si>
    <t>Flight_Search_017</t>
  </si>
  <si>
    <t>1. Chọn Ngày đi là ngày X.
2. Thử chọn Ngày về là một ngày trước ngày X.</t>
  </si>
  <si>
    <t>Hệ thống làm mờ các ngày trước X trên lịch Ngày về hoặc hiển thị thông báo lỗi phù hợp.</t>
  </si>
  <si>
    <t>Flight_Search_018</t>
  </si>
  <si>
    <t>Kiểm tra chọn Ngày đi và Ngày về trùng nhau đối với vé Khứ hồi</t>
  </si>
  <si>
    <t>1. Chọn loại vé Khứ hồi.
2. Chọn Ngày đi và Ngày về cùng là ngày X.</t>
  </si>
  <si>
    <t>Hệ thống chấp nhận thông tin đi/về cùng ngày hợp lệ.</t>
  </si>
  <si>
    <t>Flight_Search_019</t>
  </si>
  <si>
    <t>1. Mở popup chọn Số lượng hành khách.
2. Click [+] tăng Người lớn = 3, sau đó [-] giảm về 2.</t>
  </si>
  <si>
    <t>Số lượng Người lớn cập nhật chính xác theo thao tác click. Không cho phép giảm về 0.</t>
  </si>
  <si>
    <t>Flight_Search_020</t>
  </si>
  <si>
    <t>1. Chọn Người lớn = 1.
2. Thử click [+] tại mục Em bé lên số lượng = 2.</t>
  </si>
  <si>
    <t>Nút [+] Em bé bị disabled hoặc hiển thị cảnh báo không được quá 1 em bé/1 người lớn.</t>
  </si>
  <si>
    <t>Flight_Search_021</t>
  </si>
  <si>
    <t>1. Tăng tổng hành khách (Người lớn + Trẻ em) đạt 9 người.
2. Thử click [+] thêm khách thứ 10.</t>
  </si>
  <si>
    <t>Nút [+] ở tất cả loại hành khách bị disabled khi tổng đạt 9 người.</t>
  </si>
  <si>
    <t>Flight_Search_022</t>
  </si>
  <si>
    <t>1. Mở dropdown Hạng ghế.
2. Lần lượt chọn các loại hạng ghế.</t>
  </si>
  <si>
    <t>Hạng ghế được chọn hiển thị đúng tên trên ô thông tin form tìm kiếm.</t>
  </si>
  <si>
    <t>Flight_Search_023</t>
  </si>
  <si>
    <t>1. Nhập đầy đủ: Điểm đi, Điểm đến, Ngày đi, Số hành khách hợp lệ.
2. Click [Tìm chuyến bay].</t>
  </si>
  <si>
    <t>Hệ thống chuyển hướng thành công sang trang Danh sách Chuyến bay (Search Results).</t>
  </si>
  <si>
    <t>Flight_Search_024</t>
  </si>
  <si>
    <t>1. Chọn vé Khứ hồi, nhập đầy đủ thông tin đi/về hợp lệ.
2. Click [Tìm chuyến bay].</t>
  </si>
  <si>
    <t>Hệ thống chuyển hướng sang trang kết quả hiển thị danh sách chuyến bay đi và chuyến bay về.</t>
  </si>
  <si>
    <t>Flight_Search_025</t>
  </si>
  <si>
    <t>1. Để trống một trong các trường bắt buộc.
2. Click [Tìm chuyến bay].</t>
  </si>
  <si>
    <t>Hệ thống không chuyển trang, hiển thị cảnh báo/báo lỗi đỏ tại các trường bị để trống.</t>
  </si>
  <si>
    <t>TEST REPORT</t>
  </si>
  <si>
    <t>Flight_Payment</t>
  </si>
  <si>
    <t>Flight_Select</t>
  </si>
  <si>
    <t>Notes</t>
  </si>
  <si>
    <t>Release 1 includes 3 chức năng của module Tìm kiếm chuyến bay: Tìm kiếm chuyến bay, Xem danh sách và chọn chuyến bay, Đặt chỗ và thanh toán</t>
  </si>
  <si>
    <t>Flight_Payment_001</t>
  </si>
  <si>
    <t>Module code</t>
  </si>
  <si>
    <t>Pass</t>
  </si>
  <si>
    <t>Chuyển sang trang Đặt chỗ sau khi chọn vé.</t>
  </si>
  <si>
    <t>Fail</t>
  </si>
  <si>
    <t>Hiển thị Form Thông tin người liên hệ, Form Hành khách, Dịch vụ bổ sung và Tóm tắt đơn hàng.</t>
  </si>
  <si>
    <t>Number of  test cases</t>
  </si>
  <si>
    <t>Flight_Payment_002</t>
  </si>
  <si>
    <t>Flight_Select_001</t>
  </si>
  <si>
    <t>Quan sát các thẻ danh sách chuyến bay trả về.</t>
  </si>
  <si>
    <t>Hiển thị đầy đủ: Logo/Tên Hãng bay, Giờ cất/hạ cánh, Tổng thời gian bay, Loại chuyến bay, Giá vé.</t>
  </si>
  <si>
    <t>Nhập đầy đủ Họ tên, SĐT, Email người liên hệ và Họ tên/Ngày sinh hành khách.</t>
  </si>
  <si>
    <t>Thông tin được ghi nhận hợp lệ, không báo lỗi.</t>
  </si>
  <si>
    <t>Flight_Payment_003</t>
  </si>
  <si>
    <t>1. Để trống Họ tên, Email hoặc SĐT.
2. Click [Tiếp tục].</t>
  </si>
  <si>
    <t>Hệ thống hiển thị thông báo lỗi đỏ tại các ô bị trống, không cho chuyển bước.</t>
  </si>
  <si>
    <t>Flight_Payment_004</t>
  </si>
  <si>
    <t>Flight_Select_002</t>
  </si>
  <si>
    <t>1. Nhập email: "testemail.com".
2. Click [Tiếp tục].</t>
  </si>
  <si>
    <t>Hệ thống báo lỗi "Email không hợp lệ".</t>
  </si>
  <si>
    <t>Quan sát phần đầu trang danh sách kết quả.</t>
  </si>
  <si>
    <t>Hiển thị chính xác tổng số chuyến bay khớp với tiêu chí tìm kiếm (VD: "Tìm thấy 45 chuyến bay").</t>
  </si>
  <si>
    <t>Flight_Payment_005</t>
  </si>
  <si>
    <t>1. Nhập SĐT: "090123abc#".
2. Click [Tiếp tục].</t>
  </si>
  <si>
    <t>Hệ thống báo lỗi "Số điện thoại chỉ được chứa ký tự số".</t>
  </si>
  <si>
    <t>Flight_Payment_006</t>
  </si>
  <si>
    <t>1. Nhập SĐT quá ngắn (VD: "0901").
2. Click [Tiếp tục].</t>
  </si>
  <si>
    <t>Hệ thống báo lỗi "Số điện thoại không hợp lệ (phải từ 9-11 số)".</t>
  </si>
  <si>
    <t>Flight_Payment_007</t>
  </si>
  <si>
    <t>1. Nhập Họ tên: "Nguyen Van A123".
2. Click [Tiếp tục].</t>
  </si>
  <si>
    <t>Hệ thống báo lỗi "Họ tên không hợp lệ".</t>
  </si>
  <si>
    <t>Flight_Select_003</t>
  </si>
  <si>
    <t>1. Click chọn một ngày khác trên thanh chọn ngày nhanh ở đầu trang.
2. Quan sát danh sách.</t>
  </si>
  <si>
    <t>Hệ thống tải lại và hiển thị danh sách chuyến bay của ngày mới được chọn.</t>
  </si>
  <si>
    <t>Flight_Payment_008</t>
  </si>
  <si>
    <t>Truy cập màn hình đặt chỗ khi đã đăng nhập tài khoản Traveloka.</t>
  </si>
  <si>
    <t>Thông tin Họ tên, Email, SĐT tự động fill sẵn vào các trường liên hệ.</t>
  </si>
  <si>
    <t>Flight_Select_004</t>
  </si>
  <si>
    <t>1. Tích chọn bộ lọc "Bay thẳng".
2. Quan sát kết quả.</t>
  </si>
  <si>
    <t>Flight_Payment_009</t>
  </si>
  <si>
    <t>Danh sách tự động cập nhật chỉ còn lại các chuyến bay 0 điểm dừng.</t>
  </si>
  <si>
    <t>1. Chọn mua gói hành lý 20kg.
2. Quan sát đơn hàng.</t>
  </si>
  <si>
    <t>Dịch vụ hành lý được thêm vào Tóm tắt đơn hàng, Tổng tiền tự động cộng thêm chi phí tương ứng.</t>
  </si>
  <si>
    <t>Flight_Payment_010</t>
  </si>
  <si>
    <t>Tích chọn mua Suất ăn trên máy bay / Gói bảo hiểm.</t>
  </si>
  <si>
    <t>Flight_Select_005</t>
  </si>
  <si>
    <t>Chi phí dịch vụ được ghi nhận chính xác vào tổng giá tiền đơn hàng.</t>
  </si>
  <si>
    <t>1. Tích chọn bộ lọc "1 điểm dừng".
2. Quan sát kết quả.</t>
  </si>
  <si>
    <t>Danh sách tự động cập nhật chỉ hiển thị các chuyến bay quá cảnh 1 điểm dừng.</t>
  </si>
  <si>
    <t>Flight_Payment_011</t>
  </si>
  <si>
    <t>1. Nhập mã voucher hợp lệ.
2. Click [Áp dụng].</t>
  </si>
  <si>
    <t>Hệ thống báo áp dụng thành công, số tiền giảm giá được trừ trực tiếp vào Tổng thanh toán.</t>
  </si>
  <si>
    <t>Flight_Payment_012</t>
  </si>
  <si>
    <t>1. Nhập mã voucher sai hoặc hết hạn.
2. Click [Áp dụng].</t>
  </si>
  <si>
    <t>Hệ thống hiển thị lỗi "Mã giảm giá không tồn tại hoặc đã hết hạn".</t>
  </si>
  <si>
    <t>Flight_Select_006</t>
  </si>
  <si>
    <t>1. Tích chọn bộ lọc "2+ điểm dừng".
2. Quan sát kết quả.</t>
  </si>
  <si>
    <t>Danh sách hiển thị các chuyến bay có từ 2 điểm quá cảnh trở lên.</t>
  </si>
  <si>
    <t>Flight_Payment_013</t>
  </si>
  <si>
    <t>1. Click nút [Hủy áp dụng] mã voucher đã dùng.
2. Quan sát tổng tiền.</t>
  </si>
  <si>
    <t>Mã giảm giá bị xóa khỏi đơn hàng, tổng tiền quay về giá trị gốc ban đầu.</t>
  </si>
  <si>
    <t>Flight_Payment_014</t>
  </si>
  <si>
    <t>Flight_Select_007</t>
  </si>
  <si>
    <t>Ở màn hình đặt chỗ quá thời gian quy định (VD: &gt; 15 phút) và bấm tiếp tục.</t>
  </si>
  <si>
    <t>Hệ thống thông báo "Phiên giao dịch đã hết hạn" và điều hướng về trang tìm kiếm.</t>
  </si>
  <si>
    <t>1. Tích chọn hãng "Vietnam Airlines".
2. Quan sát danh sách.</t>
  </si>
  <si>
    <t>Chỉ các chuyến bay thuộc Vietnam Airlines mới được hiển thị.</t>
  </si>
  <si>
    <t>Flight_Payment_015</t>
  </si>
  <si>
    <t>Chuyển sang Màn hình Thanh toán.</t>
  </si>
  <si>
    <t>Hiển thị đầy đủ: Thẻ ATM/Internet Banking, Ví MoMo, ZaloPay, Visa/Mastercard, Chuyển khoản QR.</t>
  </si>
  <si>
    <t>Flight_Select_008</t>
  </si>
  <si>
    <t>1. Tích chọn "Vietjet Air" và "Bamboo Airways".
2. Quan sát danh sách.</t>
  </si>
  <si>
    <t>Danh sách hiển thị kết quả bao gồm cả 2 hãng đã tích chọn.</t>
  </si>
  <si>
    <t>Flight_Payment_016</t>
  </si>
  <si>
    <t>Quan sát Tóm tắt đơn hàng bên phải.</t>
  </si>
  <si>
    <t>Tổng tiền toán chuẩn = (Giá vé gốc + Thuế phí + Dịch vụ bổ sung) − Voucher giảm giá.</t>
  </si>
  <si>
    <t>Flight_Payment_017</t>
  </si>
  <si>
    <t>Flight_Select_009</t>
  </si>
  <si>
    <t>1. Click chọn "Ví MoMo".
2. Quan sát giao diện.</t>
  </si>
  <si>
    <t>Hệ thống hiển thị đúng form/mã QR hướng dẫn kết nối thanh toán ví MoMo.</t>
  </si>
  <si>
    <t>1. Bỏ tích chọn hãng đã lọc trước đó.
2. Quan sát danh sách.</t>
  </si>
  <si>
    <t>Danh sách khôi phục hiển thị đầy đủ các hãng hàng không.</t>
  </si>
  <si>
    <t>Flight_Payment_018</t>
  </si>
  <si>
    <t>1. Click chọn "Chuyển khoản QR".
2. Quan sát giao diện.</t>
  </si>
  <si>
    <t>Hiển thị mã VietQR động chứa chính xác số tiền và thông tin đơn hàng.</t>
  </si>
  <si>
    <t>Flight_Select_010</t>
  </si>
  <si>
    <t>Kiểm tra lọc theo Khung giờ cất cánh (Buổi sáng 00:00 - 06:00)</t>
  </si>
  <si>
    <t>1. Tích chọn khung giờ 00:00 - 06:00.
2. Quan sát kết quả.</t>
  </si>
  <si>
    <t>Chỉ hiển thị các chuyến bay cất cánh trong khoảng từ 0h đến 6h sáng.</t>
  </si>
  <si>
    <t>Flight_Payment_019</t>
  </si>
  <si>
    <t>1. Click chọn "Thẻ Visa/Mastercard".
2. Quan sát hiển thị form.</t>
  </si>
  <si>
    <t>Form nhập thông tin thẻ (Số thẻ, Tên chủ thẻ, Hạn thẻ, CVC) hiển thị đầy đủ.</t>
  </si>
  <si>
    <t>Flight_Select_011</t>
  </si>
  <si>
    <t>Kiểm tra lọc theo Khung giờ cất cánh (Buổi trưa/chiều 12:00 - 18:00)</t>
  </si>
  <si>
    <t>Flight_Payment_020</t>
  </si>
  <si>
    <t>1. Tích chọn khung giờ 12:00 - 18:00.
2. Quan sát kết quả.</t>
  </si>
  <si>
    <t>Chỉ hiển thị các chuyến bay khởi hành từ 12h đến 18h.</t>
  </si>
  <si>
    <t>1. Nhập Số thẻ chỉ có 8 chữ số (VD: "41112222").
2. Click [Thanh toán].</t>
  </si>
  <si>
    <t>Hệ thống báo lỗi "Số thẻ không hợp lệ" trực tiếp tại form.</t>
  </si>
  <si>
    <t>Flight_Select_012</t>
  </si>
  <si>
    <t>Flight_Payment_021</t>
  </si>
  <si>
    <t>1. Nhập Ngày hết hạn thẻ là tháng/năm đã qua.
2. Click [Thanh toán].</t>
  </si>
  <si>
    <t>Hệ thống báo lỗi "Thẻ đã hết hạn".</t>
  </si>
  <si>
    <t>1. Tích chọn khung giờ hạ cánh mong muốn.
2. Quan sát kết quả.</t>
  </si>
  <si>
    <t>Chỉ hiển thị các chuyến bay hạ cánh trong khung giờ đã chọn.</t>
  </si>
  <si>
    <t>Flight_Payment_022</t>
  </si>
  <si>
    <t>1. Nhập Số thẻ và Hạn thẻ, để trống mã CVC.
2. Click [Thanh toán].</t>
  </si>
  <si>
    <t>Hệ thống báo lỗi bắt buộc nhập mã CVC/CVV.</t>
  </si>
  <si>
    <t>Flight_Select_013</t>
  </si>
  <si>
    <t>1. Kéo thanh trượt giá tối đa về mức X.
2. Quan sát danh sách.</t>
  </si>
  <si>
    <t>Tất cả chuyến bay hiển thị đều có mức giá nhỏ hơn hoặc bằng X.</t>
  </si>
  <si>
    <t>Sub total</t>
  </si>
  <si>
    <t>Flight_Payment_023</t>
  </si>
  <si>
    <t>Flight_Select_014</t>
  </si>
  <si>
    <t>1. Để trống chọn phương thức.
2. Click [Thanh toán].</t>
  </si>
  <si>
    <t>1. Tích chọn Vietnam Airlines, chọn giờ sáng và giá &lt; 2 triệu.
2. Quan sát kết quả.</t>
  </si>
  <si>
    <t>Hệ thống báo lỗi yêu cầu người dùng chọn 1 phương thức thanh toán.</t>
  </si>
  <si>
    <t>Danh sách hiển thị chính xác các chuyến bay thỏa mãn cả 3 tiêu chí.</t>
  </si>
  <si>
    <t>Flight_Select_015</t>
  </si>
  <si>
    <t>Flight_Payment_024</t>
  </si>
  <si>
    <t>Tích chọn bộ lọc quá khắt khe không có chuyến bay nào khớp.</t>
  </si>
  <si>
    <t>Click nút [Quay lại].</t>
  </si>
  <si>
    <t>Màn hình hiển thị thông báo "Không tìm thấy chuyến bay phù hợp" cùng nút [Đặt lại].</t>
  </si>
  <si>
    <t>Hệ thống quay lại Màn hình Nhập thông tin và giữ nguyên các thông tin đã điền trước đó.</t>
  </si>
  <si>
    <t>Flight_Payment_025</t>
  </si>
  <si>
    <t>Flight_Select_016</t>
  </si>
  <si>
    <t>1. Chọn phương thức thanh toán hợp lệ.
2. Click nút [Thanh toán].</t>
  </si>
  <si>
    <t>Nút [Thanh toán] tự động chuyển sang trạng thái disabled/loading ngay sau khi click.</t>
  </si>
  <si>
    <t>1. Áp dụng một số bộ lọc.
2. Click nút [Đặt lại].</t>
  </si>
  <si>
    <t>Tất cả bộ lọc trở về mặc định, danh sách hiển thị lại toàn bộ chuyến bay ban đầu.</t>
  </si>
  <si>
    <t>Flight_Select_017</t>
  </si>
  <si>
    <t>Chọn tùy chọn sắp xếp "Giá thấp nhất".</t>
  </si>
  <si>
    <t>Danh sách chuyến bay hiển thị thứ tự theo giá tăng dần từ trên xuống dưới.</t>
  </si>
  <si>
    <t>Flight_Select_018</t>
  </si>
  <si>
    <t>Chọn tùy chọn sắp xếp "Giá cao nhất".</t>
  </si>
  <si>
    <t>Danh sách chuyến bay hiển thị thứ tự theo giá giảm dần từ trên xuống dưới.</t>
  </si>
  <si>
    <t>Flight_Select_019</t>
  </si>
  <si>
    <t>Chọn tùy chọn "Cất cánh sớm nhất".</t>
  </si>
  <si>
    <t>Danh sách sắp xếp theo thời gian cất cánh tăng dần từ sáng đến tối.</t>
  </si>
  <si>
    <t>Test coverage</t>
  </si>
  <si>
    <t>Flight_Select_020</t>
  </si>
  <si>
    <t>Chọn tùy chọn "Thời gian bay ngắn nhất".</t>
  </si>
  <si>
    <t>Ưu tiên hiển thị các chuyến bay có tổng thời gian di chuyển ngắn nhất lên đầu.</t>
  </si>
  <si>
    <t>Flight_Select_021</t>
  </si>
  <si>
    <t>Click xem "Chi tiết chuyến bay" trên 1 thẻ vé.</t>
  </si>
  <si>
    <t>Hiển thị đầy đủ sơ đồ chặng bay, thời gian quá cảnh, loại máy bay.</t>
  </si>
  <si>
    <t>Flight_Select_022</t>
  </si>
  <si>
    <t>Chuyển sang tab "Hành lý" &amp; "Chính sách" trong popup.</t>
  </si>
  <si>
    <t>Hiển thị rõ quy định hành lý xách tay/ký gửi miễn cước và phí đổi/hoàn vé.</t>
  </si>
  <si>
    <t>%</t>
  </si>
  <si>
    <t>Flight_Select_023</t>
  </si>
  <si>
    <t>1. Mở xem các gói vé của 1 chuyến bay.
2. Chọn gói Phổ thông linh hoạt.</t>
  </si>
  <si>
    <t>Giá tiền và quyền lợi đi kèm (cho phép đổi ngày, thêm kg hành lý) cập nhật tương ứng.</t>
  </si>
  <si>
    <t>Test successful coverage</t>
  </si>
  <si>
    <t>Flight_Select_024</t>
  </si>
  <si>
    <t>1. Click [Chọn] chuyến lượt đi.
2. Chọn tiếp chuyến lượt về.</t>
  </si>
  <si>
    <t>Hệ thống ghi nhận cả 2 chuyến và hiển thị thanh Tóm tắt 2 chuyến ở chân trang.</t>
  </si>
  <si>
    <t>Flight_Select_025</t>
  </si>
  <si>
    <t>Click nút [Chọn] chuyến bay ưng ý.</t>
  </si>
  <si>
    <t>Chuyển hướng thành công sang Màn hình Nhập thông tin đặt chỗ.</t>
  </si>
  <si>
    <t>17/10/2026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</si>
</sst>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d\-mmm\-yy"/>
    <numFmt numFmtId="165" formatCode="d\-mmm\-yy"/>
    <numFmt numFmtId="166" formatCode="dd/MM/yyyy"/>
    <numFmt numFmtId="167" formatCode="d/m/yyyy"/>
  </numFmts>
  <fonts count="28">
    <font>
      <sz val="11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Tahoma"/>
    </font>
    <font>
      <b/>
      <sz val="10.0"/>
      <color theme="1"/>
      <name val="Calibri"/>
    </font>
    <font>
      <b/>
      <sz val="20.0"/>
      <color rgb="FF000000"/>
      <name val="Tahoma"/>
    </font>
    <font>
      <b/>
      <sz val="10.0"/>
      <color rgb="FF000000"/>
      <name val="Tahoma"/>
    </font>
    <font>
      <sz val="10.0"/>
      <color theme="1"/>
      <name val="Arial"/>
    </font>
    <font>
      <sz val="10.0"/>
      <color theme="1"/>
      <name val="Calibri"/>
    </font>
    <font>
      <b/>
      <sz val="10.0"/>
      <color rgb="FFFF0000"/>
      <name val="Tahoma"/>
    </font>
    <font>
      <b/>
      <sz val="22.0"/>
      <color rgb="FFFF0000"/>
      <name val="Tahoma"/>
    </font>
    <font>
      <b/>
      <sz val="10.0"/>
      <color rgb="FF993300"/>
      <name val="Tahoma"/>
    </font>
    <font/>
    <font>
      <i/>
      <sz val="10.0"/>
      <color rgb="FF008000"/>
      <name val="Tahoma"/>
    </font>
    <font>
      <sz val="10.0"/>
      <color rgb="FF000000"/>
      <name val="Tahoma"/>
    </font>
    <font>
      <b/>
      <sz val="10.0"/>
      <color theme="1"/>
      <name val="Tahoma"/>
    </font>
    <font>
      <sz val="10.0"/>
      <color rgb="FFFF0000"/>
      <name val="Tahoma"/>
    </font>
    <font>
      <b/>
      <sz val="10.0"/>
      <color rgb="FFFFFFFF"/>
      <name val="Tahoma"/>
    </font>
    <font>
      <u/>
      <sz val="10.0"/>
      <color rgb="FF0000FF"/>
      <name val="Tahoma"/>
    </font>
    <font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2.0"/>
      <color rgb="FF434343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rgb="FFFFFFFF"/>
      <name val="Tahoma"/>
    </font>
    <font>
      <sz val="11.0"/>
      <color theme="1"/>
      <name val="Tahoma"/>
    </font>
    <font>
      <sz val="11.0"/>
      <color rgb="FFFFFFFF"/>
      <name val="Tahoma"/>
    </font>
    <font>
      <b/>
      <sz val="10.0"/>
      <color rgb="FF0000FF"/>
      <name val="Tahoma"/>
    </font>
  </fonts>
  <fills count="8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52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  <bottom style="thin">
        <color rgb="FF000000"/>
      </bottom>
    </border>
    <border>
      <right/>
      <top/>
      <bottom/>
    </border>
    <border>
      <left/>
      <right/>
      <bottom/>
    </border>
    <border>
      <left/>
      <top/>
      <bottom/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2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bottom" wrapText="0"/>
    </xf>
    <xf borderId="1" fillId="3" fontId="2" numFmtId="1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1" fillId="3" fontId="2" numFmtId="0" xfId="0" applyAlignment="1" applyBorder="1" applyFill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3" fontId="4" numFmtId="0" xfId="0" applyAlignment="1" applyBorder="1" applyFill="1" applyFont="1">
      <alignment horizontal="left" shrinkToFit="0" vertical="bottom" wrapText="0"/>
    </xf>
    <xf borderId="1" fillId="3" fontId="5" numFmtId="0" xfId="0" applyAlignment="1" applyBorder="1" applyFill="1" applyFont="1">
      <alignment horizontal="left" shrinkToFit="0" vertical="bottom" wrapText="0"/>
    </xf>
    <xf borderId="3" fillId="0" fontId="6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shrinkToFit="0" vertical="center" wrapText="0"/>
    </xf>
    <xf borderId="1" fillId="3" fontId="8" numFmtId="0" xfId="0" applyAlignment="1" applyBorder="1" applyFill="1" applyFont="1">
      <alignment horizontal="left" shrinkToFit="0" vertical="bottom" wrapText="0"/>
    </xf>
    <xf borderId="4" fillId="0" fontId="6" numFmtId="0" xfId="0" applyAlignment="1" applyBorder="1" applyFont="1">
      <alignment horizontal="left" shrinkToFit="0" vertical="center" wrapText="1"/>
    </xf>
    <xf borderId="1" fillId="3" fontId="9" numFmtId="0" xfId="0" applyAlignment="1" applyBorder="1" applyFill="1" applyFont="1">
      <alignment horizontal="center" shrinkToFit="0" vertical="center" wrapText="0"/>
    </xf>
    <xf borderId="5" fillId="3" fontId="10" numFmtId="1" xfId="0" applyAlignment="1" applyBorder="1" applyFill="1" applyFont="1" applyNumberFormat="1">
      <alignment shrinkToFit="0" vertical="bottom" wrapText="0"/>
    </xf>
    <xf borderId="4" fillId="0" fontId="6" numFmtId="0" xfId="0" applyAlignment="1" applyBorder="1" applyFont="1">
      <alignment horizontal="left" readingOrder="0" shrinkToFit="0" vertical="center" wrapText="1"/>
    </xf>
    <xf borderId="6" fillId="0" fontId="11" numFmtId="0" xfId="0" applyBorder="1" applyFont="1"/>
    <xf borderId="3" fillId="0" fontId="6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horizontal="center" shrinkToFit="0" vertical="center" wrapText="0"/>
    </xf>
    <xf borderId="7" fillId="0" fontId="11" numFmtId="0" xfId="0" applyBorder="1" applyFont="1"/>
    <xf borderId="8" fillId="0" fontId="6" numFmtId="0" xfId="0" applyAlignment="1" applyBorder="1" applyFont="1">
      <alignment horizontal="left" shrinkToFit="0" vertical="center" wrapText="1"/>
    </xf>
    <xf borderId="9" fillId="0" fontId="11" numFmtId="0" xfId="0" applyBorder="1" applyFont="1"/>
    <xf borderId="0" fillId="0" fontId="2" numFmtId="0" xfId="0" applyAlignment="1" applyFont="1">
      <alignment horizontal="center" shrinkToFit="0" vertical="center" wrapText="0"/>
    </xf>
    <xf borderId="10" fillId="0" fontId="6" numFmtId="0" xfId="0" applyAlignment="1" applyBorder="1" applyFont="1">
      <alignment horizontal="left" readingOrder="0" shrinkToFit="0" vertical="center" wrapText="1"/>
    </xf>
    <xf borderId="1" fillId="3" fontId="10" numFmtId="0" xfId="0" applyAlignment="1" applyBorder="1" applyFill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11" fillId="0" fontId="6" numFmtId="0" xfId="0" applyAlignment="1" applyBorder="1" applyFont="1">
      <alignment readingOrder="0" shrinkToFit="0" vertical="center" wrapText="1"/>
    </xf>
    <xf borderId="12" fillId="3" fontId="10" numFmtId="0" xfId="0" applyAlignment="1" applyBorder="1" applyFill="1" applyFont="1">
      <alignment horizontal="left" shrinkToFit="0" vertical="bottom" wrapText="0"/>
    </xf>
    <xf borderId="5" fillId="0" fontId="12" numFmtId="0" xfId="0" applyAlignment="1" applyBorder="1" applyFont="1">
      <alignment horizontal="left"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left" shrinkToFit="0" vertical="center" wrapText="1"/>
    </xf>
    <xf borderId="5" fillId="3" fontId="12" numFmtId="0" xfId="0" applyAlignment="1" applyBorder="1" applyFill="1" applyFont="1">
      <alignment horizontal="left" shrinkToFit="0" vertical="bottom" wrapText="0"/>
    </xf>
    <xf borderId="9" fillId="0" fontId="2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horizontal="left" shrinkToFit="0" vertical="center" wrapText="1"/>
    </xf>
    <xf borderId="13" fillId="3" fontId="10" numFmtId="0" xfId="0" applyAlignment="1" applyBorder="1" applyFill="1" applyFont="1">
      <alignment horizontal="left" shrinkToFit="0" vertical="center" wrapText="0"/>
    </xf>
    <xf borderId="1" fillId="3" fontId="2" numFmtId="0" xfId="0" applyAlignment="1" applyBorder="1" applyFill="1" applyFont="1">
      <alignment shrinkToFit="0" vertical="bottom" wrapText="1"/>
    </xf>
    <xf borderId="14" fillId="3" fontId="13" numFmtId="0" xfId="0" applyAlignment="1" applyBorder="1" applyFill="1" applyFont="1">
      <alignment shrinkToFit="0" vertical="bottom" wrapText="0"/>
    </xf>
    <xf borderId="5" fillId="3" fontId="10" numFmtId="1" xfId="0" applyAlignment="1" applyBorder="1" applyFill="1" applyFont="1" applyNumberFormat="1">
      <alignment shrinkToFit="0" vertical="center" wrapText="1"/>
    </xf>
    <xf borderId="1" fillId="3" fontId="13" numFmtId="0" xfId="0" applyAlignment="1" applyBorder="1" applyFill="1" applyFont="1">
      <alignment shrinkToFit="0" vertical="bottom" wrapText="1"/>
    </xf>
    <xf borderId="5" fillId="3" fontId="12" numFmtId="0" xfId="0" applyAlignment="1" applyBorder="1" applyFill="1" applyFont="1">
      <alignment readingOrder="0" shrinkToFit="0" vertical="top" wrapText="1"/>
    </xf>
    <xf borderId="15" fillId="0" fontId="12" numFmtId="0" xfId="0" applyAlignment="1" applyBorder="1" applyFont="1">
      <alignment horizontal="left" shrinkToFit="0" vertical="center" wrapText="0"/>
    </xf>
    <xf borderId="1" fillId="3" fontId="10" numFmtId="1" xfId="0" applyAlignment="1" applyBorder="1" applyFill="1" applyFont="1" applyNumberFormat="1">
      <alignment shrinkToFit="0" vertical="bottom" wrapText="0"/>
    </xf>
    <xf borderId="16" fillId="0" fontId="11" numFmtId="0" xfId="0" applyBorder="1" applyFont="1"/>
    <xf borderId="17" fillId="0" fontId="11" numFmtId="0" xfId="0" applyBorder="1" applyFont="1"/>
    <xf borderId="9" fillId="0" fontId="12" numFmtId="164" xfId="0" applyAlignment="1" applyBorder="1" applyFont="1" applyNumberFormat="1">
      <alignment horizontal="left" readingOrder="0" shrinkToFit="0" vertical="bottom" wrapText="0"/>
    </xf>
    <xf borderId="18" fillId="0" fontId="11" numFmtId="0" xfId="0" applyBorder="1" applyFont="1"/>
    <xf borderId="19" fillId="0" fontId="11" numFmtId="0" xfId="0" applyBorder="1" applyFont="1"/>
    <xf borderId="20" fillId="0" fontId="11" numFmtId="0" xfId="0" applyBorder="1" applyFont="1"/>
    <xf borderId="21" fillId="0" fontId="11" numFmtId="0" xfId="0" applyBorder="1" applyFont="1"/>
    <xf borderId="1" fillId="3" fontId="14" numFmtId="0" xfId="0" applyAlignment="1" applyBorder="1" applyFill="1" applyFont="1">
      <alignment shrinkToFit="0" vertical="bottom" wrapText="1"/>
    </xf>
    <xf borderId="9" fillId="0" fontId="12" numFmtId="0" xfId="0" applyAlignment="1" applyBorder="1" applyFont="1">
      <alignment horizontal="left" shrinkToFit="0" vertical="bottom" wrapText="0"/>
    </xf>
    <xf borderId="1" fillId="3" fontId="2" numFmtId="0" xfId="0" applyAlignment="1" applyBorder="1" applyFill="1" applyFont="1">
      <alignment shrinkToFit="0" vertical="center" wrapText="0"/>
    </xf>
    <xf borderId="1" fillId="3" fontId="15" numFmtId="0" xfId="0" applyAlignment="1" applyBorder="1" applyFill="1" applyFont="1">
      <alignment shrinkToFit="0" vertical="bottom" wrapText="1"/>
    </xf>
    <xf borderId="1" fillId="3" fontId="2" numFmtId="1" xfId="0" applyAlignment="1" applyBorder="1" applyFill="1" applyFont="1" applyNumberFormat="1">
      <alignment shrinkToFit="0" vertical="center" wrapText="0"/>
    </xf>
    <xf borderId="1" fillId="3" fontId="10" numFmtId="0" xfId="0" applyAlignment="1" applyBorder="1" applyFill="1" applyFont="1">
      <alignment shrinkToFit="0" vertical="bottom" wrapText="0"/>
    </xf>
    <xf borderId="1" fillId="3" fontId="13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horizontal="left" shrinkToFit="0" vertical="center" wrapText="0"/>
    </xf>
    <xf borderId="1" fillId="3" fontId="14" numFmtId="0" xfId="0" applyAlignment="1" applyBorder="1" applyFill="1" applyFont="1">
      <alignment horizontal="center" shrinkToFit="0" vertical="bottom" wrapText="0"/>
    </xf>
    <xf borderId="0" fillId="0" fontId="10" numFmtId="0" xfId="0" applyAlignment="1" applyFont="1">
      <alignment horizontal="left" shrinkToFit="0" vertical="bottom" wrapText="0"/>
    </xf>
    <xf borderId="22" fillId="4" fontId="16" numFmtId="1" xfId="0" applyAlignment="1" applyBorder="1" applyFill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23" fillId="3" fontId="14" numFmtId="0" xfId="0" applyAlignment="1" applyBorder="1" applyFill="1" applyFont="1">
      <alignment horizontal="left" shrinkToFit="0" vertical="bottom" wrapText="1"/>
    </xf>
    <xf borderId="24" fillId="4" fontId="16" numFmtId="0" xfId="0" applyAlignment="1" applyBorder="1" applyFill="1" applyFont="1">
      <alignment horizontal="center" shrinkToFit="0" vertical="center" wrapText="0"/>
    </xf>
    <xf borderId="25" fillId="4" fontId="16" numFmtId="0" xfId="0" applyAlignment="1" applyBorder="1" applyFill="1" applyFont="1">
      <alignment horizontal="center" shrinkToFit="0" vertical="center" wrapText="0"/>
    </xf>
    <xf borderId="22" fillId="5" fontId="16" numFmtId="165" xfId="0" applyAlignment="1" applyBorder="1" applyFill="1" applyFont="1" applyNumberFormat="1">
      <alignment horizontal="center" shrinkToFit="0" vertical="center" wrapText="0"/>
    </xf>
    <xf borderId="26" fillId="4" fontId="16" numFmtId="0" xfId="0" applyAlignment="1" applyBorder="1" applyFill="1" applyFont="1">
      <alignment horizontal="center" shrinkToFit="0" vertical="center" wrapText="0"/>
    </xf>
    <xf borderId="24" fillId="5" fontId="16" numFmtId="0" xfId="0" applyAlignment="1" applyBorder="1" applyFill="1" applyFont="1">
      <alignment horizontal="center" shrinkToFit="0" vertical="center" wrapText="0"/>
    </xf>
    <xf borderId="5" fillId="3" fontId="12" numFmtId="0" xfId="0" applyAlignment="1" applyBorder="1" applyFill="1" applyFont="1">
      <alignment horizontal="left" readingOrder="0" shrinkToFit="0" vertical="center" wrapText="1"/>
    </xf>
    <xf borderId="26" fillId="5" fontId="16" numFmtId="0" xfId="0" applyAlignment="1" applyBorder="1" applyFill="1" applyFont="1">
      <alignment horizontal="center" shrinkToFit="0" vertical="center" wrapText="0"/>
    </xf>
    <xf borderId="27" fillId="3" fontId="2" numFmtId="1" xfId="0" applyAlignment="1" applyBorder="1" applyFill="1" applyFont="1" applyNumberFormat="1">
      <alignment readingOrder="0" shrinkToFit="0" vertical="center" wrapText="0"/>
    </xf>
    <xf borderId="0" fillId="0" fontId="2" numFmtId="0" xfId="0" applyAlignment="1" applyFont="1">
      <alignment shrinkToFit="0" vertical="top" wrapText="0"/>
    </xf>
    <xf borderId="2" fillId="3" fontId="2" numFmtId="49" xfId="0" applyAlignment="1" applyBorder="1" applyFill="1" applyFont="1" applyNumberFormat="1">
      <alignment horizontal="left" readingOrder="0" shrinkToFit="0" vertical="center" wrapText="0"/>
    </xf>
    <xf borderId="28" fillId="3" fontId="14" numFmtId="0" xfId="0" applyAlignment="1" applyBorder="1" applyFill="1" applyFont="1">
      <alignment horizontal="left" shrinkToFit="0" vertical="bottom" wrapText="1"/>
    </xf>
    <xf borderId="27" fillId="0" fontId="12" numFmtId="14" xfId="0" applyAlignment="1" applyBorder="1" applyFont="1" applyNumberFormat="1">
      <alignment readingOrder="0" shrinkToFit="0" vertical="top" wrapText="1"/>
    </xf>
    <xf borderId="2" fillId="0" fontId="2" numFmtId="49" xfId="0" applyAlignment="1" applyBorder="1" applyFont="1" applyNumberFormat="1">
      <alignment shrinkToFit="0" vertical="top" wrapText="0"/>
    </xf>
    <xf borderId="2" fillId="0" fontId="2" numFmtId="0" xfId="0" applyAlignment="1" applyBorder="1" applyFont="1">
      <alignment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29" fillId="0" fontId="12" numFmtId="0" xfId="0" applyAlignment="1" applyBorder="1" applyFont="1">
      <alignment readingOrder="0" shrinkToFit="0" vertical="top" wrapText="1"/>
    </xf>
    <xf borderId="2" fillId="3" fontId="17" numFmtId="0" xfId="0" applyAlignment="1" applyBorder="1" applyFill="1" applyFont="1">
      <alignment horizontal="left" readingOrder="0" shrinkToFit="0" vertical="center" wrapText="0"/>
    </xf>
    <xf borderId="28" fillId="3" fontId="5" numFmtId="0" xfId="0" applyAlignment="1" applyBorder="1" applyFill="1" applyFont="1">
      <alignment horizontal="center" shrinkToFit="0" vertical="center" wrapText="0"/>
    </xf>
    <xf borderId="27" fillId="0" fontId="2" numFmtId="165" xfId="0" applyAlignment="1" applyBorder="1" applyFont="1" applyNumberFormat="1">
      <alignment shrinkToFit="0" vertical="top" wrapText="0"/>
    </xf>
    <xf borderId="0" fillId="0" fontId="18" numFmtId="0" xfId="0" applyAlignment="1" applyFont="1">
      <alignment readingOrder="0" shrinkToFit="0" wrapText="1"/>
    </xf>
    <xf borderId="12" fillId="3" fontId="5" numFmtId="0" xfId="0" applyAlignment="1" applyBorder="1" applyFill="1" applyFont="1">
      <alignment horizontal="center" shrinkToFit="0" vertical="center" wrapText="1"/>
    </xf>
    <xf borderId="29" fillId="0" fontId="2" numFmtId="0" xfId="0" applyAlignment="1" applyBorder="1" applyFont="1">
      <alignment shrinkToFit="0" vertical="top" wrapText="0"/>
    </xf>
    <xf borderId="29" fillId="3" fontId="2" numFmtId="0" xfId="0" applyAlignment="1" applyBorder="1" applyFill="1" applyFont="1">
      <alignment horizontal="left" readingOrder="0" shrinkToFit="0" vertical="center" wrapText="1"/>
    </xf>
    <xf borderId="12" fillId="3" fontId="5" numFmtId="0" xfId="0" applyAlignment="1" applyBorder="1" applyFill="1" applyFont="1">
      <alignment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1" fillId="3" fontId="15" numFmtId="0" xfId="0" applyAlignment="1" applyBorder="1" applyFill="1" applyFont="1">
      <alignment horizontal="center" shrinkToFit="0" vertical="bottom" wrapText="1"/>
    </xf>
    <xf borderId="0" fillId="0" fontId="18" numFmtId="0" xfId="0" applyAlignment="1" applyFont="1">
      <alignment readingOrder="0"/>
    </xf>
    <xf borderId="30" fillId="0" fontId="2" numFmtId="165" xfId="0" applyAlignment="1" applyBorder="1" applyFont="1" applyNumberFormat="1">
      <alignment shrinkToFit="0" vertical="top" wrapText="0"/>
    </xf>
    <xf borderId="29" fillId="3" fontId="2" numFmtId="0" xfId="0" applyAlignment="1" applyBorder="1" applyFill="1" applyFont="1">
      <alignment horizontal="left" readingOrder="0" shrinkToFit="0" vertical="center" wrapText="0"/>
    </xf>
    <xf borderId="31" fillId="0" fontId="2" numFmtId="49" xfId="0" applyAlignment="1" applyBorder="1" applyFont="1" applyNumberFormat="1">
      <alignment shrinkToFit="0" vertical="top" wrapText="0"/>
    </xf>
    <xf borderId="31" fillId="0" fontId="2" numFmtId="0" xfId="0" applyAlignment="1" applyBorder="1" applyFont="1">
      <alignment shrinkToFit="0" vertical="top" wrapText="0"/>
    </xf>
    <xf borderId="32" fillId="0" fontId="2" numFmtId="0" xfId="0" applyAlignment="1" applyBorder="1" applyFont="1">
      <alignment shrinkToFit="0" vertical="top" wrapText="0"/>
    </xf>
    <xf borderId="2" fillId="3" fontId="2" numFmtId="0" xfId="0" applyAlignment="1" applyBorder="1" applyFill="1" applyFont="1">
      <alignment horizontal="left" readingOrder="0" shrinkToFit="0" vertical="center" wrapText="0"/>
    </xf>
    <xf borderId="27" fillId="3" fontId="2" numFmtId="1" xfId="0" applyAlignment="1" applyBorder="1" applyFill="1" applyFont="1" applyNumberFormat="1">
      <alignment shrinkToFit="0" vertical="center" wrapText="0"/>
    </xf>
    <xf borderId="0" fillId="0" fontId="19" numFmtId="0" xfId="0" applyAlignment="1" applyFont="1">
      <alignment readingOrder="0" shrinkToFit="0" vertical="center" wrapText="0"/>
    </xf>
    <xf borderId="2" fillId="3" fontId="2" numFmtId="49" xfId="0" applyAlignment="1" applyBorder="1" applyFill="1" applyFont="1" applyNumberFormat="1">
      <alignment horizontal="left" shrinkToFit="0" vertical="center" wrapText="0"/>
    </xf>
    <xf borderId="33" fillId="3" fontId="13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left" shrinkToFit="0" vertical="center" wrapText="0"/>
    </xf>
    <xf borderId="29" fillId="3" fontId="2" numFmtId="0" xfId="0" applyAlignment="1" applyBorder="1" applyFill="1" applyFont="1">
      <alignment horizontal="left" shrinkToFit="0" vertical="center" wrapText="0"/>
    </xf>
    <xf borderId="12" fillId="3" fontId="13" numFmtId="0" xfId="0" applyAlignment="1" applyBorder="1" applyFill="1" applyFont="1">
      <alignment horizontal="center" shrinkToFit="0" vertical="center" wrapText="0"/>
    </xf>
    <xf borderId="30" fillId="3" fontId="2" numFmtId="1" xfId="0" applyAlignment="1" applyBorder="1" applyFill="1" applyFont="1" applyNumberFormat="1">
      <alignment shrinkToFit="0" vertical="center" wrapText="0"/>
    </xf>
    <xf borderId="31" fillId="3" fontId="2" numFmtId="49" xfId="0" applyAlignment="1" applyBorder="1" applyFill="1" applyFont="1" applyNumberFormat="1">
      <alignment horizontal="left" shrinkToFit="0" vertical="center" wrapText="0"/>
    </xf>
    <xf borderId="12" fillId="3" fontId="13" numFmtId="0" xfId="0" applyAlignment="1" applyBorder="1" applyFill="1" applyFont="1">
      <alignment shrinkToFit="0" vertical="center" wrapText="1"/>
    </xf>
    <xf borderId="31" fillId="3" fontId="2" numFmtId="0" xfId="0" applyAlignment="1" applyBorder="1" applyFill="1" applyFont="1">
      <alignment horizontal="left" shrinkToFit="0" vertical="center" wrapText="0"/>
    </xf>
    <xf borderId="32" fillId="3" fontId="2" numFmtId="0" xfId="0" applyAlignment="1" applyBorder="1" applyFill="1" applyFont="1">
      <alignment horizontal="left" shrinkToFit="0" vertical="center" wrapText="0"/>
    </xf>
    <xf borderId="5" fillId="3" fontId="13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34" fillId="5" fontId="16" numFmtId="0" xfId="0" applyAlignment="1" applyBorder="1" applyFill="1" applyFont="1">
      <alignment horizontal="center" shrinkToFit="0" vertical="center" wrapText="1"/>
    </xf>
    <xf borderId="35" fillId="5" fontId="16" numFmtId="0" xfId="0" applyAlignment="1" applyBorder="1" applyFill="1" applyFont="1">
      <alignment horizontal="center" shrinkToFit="0" vertical="center" wrapText="1"/>
    </xf>
    <xf borderId="36" fillId="5" fontId="16" numFmtId="0" xfId="0" applyAlignment="1" applyBorder="1" applyFill="1" applyFont="1">
      <alignment horizontal="center" shrinkToFit="0" vertical="center" wrapText="1"/>
    </xf>
    <xf borderId="37" fillId="5" fontId="16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2" fillId="0" fontId="20" numFmtId="0" xfId="0" applyAlignment="1" applyBorder="1" applyFont="1">
      <alignment readingOrder="0" shrinkToFit="0" vertical="bottom" wrapText="1"/>
    </xf>
    <xf borderId="2" fillId="0" fontId="6" numFmtId="0" xfId="0" applyAlignment="1" applyBorder="1" applyFont="1">
      <alignment horizontal="left" shrinkToFit="0" vertical="center" wrapText="1"/>
    </xf>
    <xf borderId="12" fillId="0" fontId="20" numFmtId="0" xfId="0" applyAlignment="1" applyBorder="1" applyFont="1">
      <alignment shrinkToFit="0" vertical="bottom" wrapText="1"/>
    </xf>
    <xf borderId="12" fillId="6" fontId="20" numFmtId="0" xfId="0" applyAlignment="1" applyBorder="1" applyFill="1" applyFont="1">
      <alignment vertical="bottom"/>
    </xf>
    <xf borderId="12" fillId="6" fontId="21" numFmtId="0" xfId="0" applyAlignment="1" applyBorder="1" applyFill="1" applyFont="1">
      <alignment horizontal="center" vertical="bottom"/>
    </xf>
    <xf borderId="12" fillId="6" fontId="20" numFmtId="166" xfId="0" applyAlignment="1" applyBorder="1" applyFill="1" applyFont="1" applyNumberFormat="1">
      <alignment horizontal="right" readingOrder="0" shrinkToFit="0" vertical="bottom" wrapText="1"/>
    </xf>
    <xf borderId="12" fillId="6" fontId="2" numFmtId="0" xfId="0" applyAlignment="1" applyBorder="1" applyFill="1" applyFont="1">
      <alignment readingOrder="0" shrinkToFit="0" vertical="top" wrapText="1"/>
    </xf>
    <xf borderId="38" fillId="3" fontId="8" numFmtId="0" xfId="0" applyAlignment="1" applyBorder="1" applyFill="1" applyFont="1">
      <alignment horizontal="left" shrinkToFit="0" vertical="center" wrapText="0"/>
    </xf>
    <xf borderId="12" fillId="7" fontId="20" numFmtId="0" xfId="0" applyAlignment="1" applyBorder="1" applyFill="1" applyFont="1">
      <alignment shrinkToFit="0" vertical="bottom" wrapText="1"/>
    </xf>
    <xf borderId="12" fillId="7" fontId="20" numFmtId="0" xfId="0" applyAlignment="1" applyBorder="1" applyFill="1" applyFont="1">
      <alignment vertical="bottom"/>
    </xf>
    <xf borderId="2" fillId="0" fontId="6" numFmtId="0" xfId="0" applyAlignment="1" applyBorder="1" applyFont="1">
      <alignment shrinkToFit="0" vertical="center" wrapText="1"/>
    </xf>
    <xf borderId="12" fillId="7" fontId="21" numFmtId="0" xfId="0" applyAlignment="1" applyBorder="1" applyFill="1" applyFont="1">
      <alignment horizontal="center" vertical="bottom"/>
    </xf>
    <xf borderId="12" fillId="7" fontId="20" numFmtId="166" xfId="0" applyAlignment="1" applyBorder="1" applyFill="1" applyFont="1" applyNumberFormat="1">
      <alignment horizontal="right" readingOrder="0" shrinkToFit="0" vertical="bottom" wrapText="1"/>
    </xf>
    <xf borderId="12" fillId="7" fontId="2" numFmtId="0" xfId="0" applyAlignment="1" applyBorder="1" applyFill="1" applyFont="1">
      <alignment readingOrder="0" shrinkToFit="0" vertical="top" wrapText="1"/>
    </xf>
    <xf borderId="38" fillId="3" fontId="15" numFmtId="0" xfId="0" applyAlignment="1" applyBorder="1" applyFill="1" applyFont="1">
      <alignment shrinkToFit="0" vertical="top" wrapText="1"/>
    </xf>
    <xf borderId="3" fillId="0" fontId="6" numFmtId="0" xfId="0" applyAlignment="1" applyBorder="1" applyFont="1">
      <alignment horizontal="left" shrinkToFit="0" vertical="center" wrapText="1"/>
    </xf>
    <xf borderId="12" fillId="6" fontId="2" numFmtId="0" xfId="0" applyAlignment="1" applyBorder="1" applyFill="1" applyFont="1">
      <alignment readingOrder="0" shrinkToFit="0" vertical="bottom" wrapText="0"/>
    </xf>
    <xf borderId="38" fillId="3" fontId="15" numFmtId="0" xfId="0" applyAlignment="1" applyBorder="1" applyFill="1" applyFont="1">
      <alignment shrinkToFit="0" vertical="bottom" wrapText="0"/>
    </xf>
    <xf borderId="12" fillId="7" fontId="22" numFmtId="166" xfId="0" applyAlignment="1" applyBorder="1" applyFill="1" applyFont="1" applyNumberFormat="1">
      <alignment horizontal="right" readingOrder="0" vertical="bottom"/>
    </xf>
    <xf borderId="12" fillId="6" fontId="20" numFmtId="0" xfId="0" applyAlignment="1" applyBorder="1" applyFill="1" applyFont="1">
      <alignment shrinkToFit="0" vertical="bottom" wrapText="1"/>
    </xf>
    <xf borderId="12" fillId="6" fontId="20" numFmtId="0" xfId="0" applyAlignment="1" applyBorder="1" applyFill="1" applyFont="1">
      <alignment vertical="top"/>
    </xf>
    <xf borderId="12" fillId="6" fontId="23" numFmtId="0" xfId="0" applyAlignment="1" applyBorder="1" applyFill="1" applyFont="1">
      <alignment vertical="bottom"/>
    </xf>
    <xf borderId="12" fillId="6" fontId="20" numFmtId="166" xfId="0" applyAlignment="1" applyBorder="1" applyFill="1" applyFont="1" applyNumberFormat="1">
      <alignment horizontal="right" readingOrder="0" vertical="bottom"/>
    </xf>
    <xf borderId="12" fillId="6" fontId="20" numFmtId="0" xfId="0" applyAlignment="1" applyBorder="1" applyFill="1" applyFont="1">
      <alignment vertical="bottom"/>
    </xf>
    <xf borderId="12" fillId="6" fontId="22" numFmtId="166" xfId="0" applyAlignment="1" applyBorder="1" applyFill="1" applyFont="1" applyNumberFormat="1">
      <alignment horizontal="right" readingOrder="0" vertical="top"/>
    </xf>
    <xf borderId="12" fillId="7" fontId="20" numFmtId="0" xfId="0" applyAlignment="1" applyBorder="1" applyFill="1" applyFont="1">
      <alignment vertical="top"/>
    </xf>
    <xf borderId="39" fillId="3" fontId="2" numFmtId="0" xfId="0" applyAlignment="1" applyBorder="1" applyFill="1" applyFont="1">
      <alignment readingOrder="0" shrinkToFit="0" vertical="top" wrapText="1"/>
    </xf>
    <xf borderId="39" fillId="3" fontId="7" numFmtId="0" xfId="0" applyAlignment="1" applyBorder="1" applyFill="1" applyFont="1">
      <alignment horizontal="left" shrinkToFit="0" vertical="top" wrapText="1"/>
    </xf>
    <xf borderId="39" fillId="3" fontId="7" numFmtId="0" xfId="0" applyAlignment="1" applyBorder="1" applyFill="1" applyFont="1">
      <alignment horizontal="left" shrinkToFit="0" vertical="top" wrapText="0"/>
    </xf>
    <xf borderId="39" fillId="3" fontId="2" numFmtId="0" xfId="0" applyAlignment="1" applyBorder="1" applyFill="1" applyFont="1">
      <alignment shrinkToFit="0" vertical="top" wrapText="1"/>
    </xf>
    <xf borderId="1" fillId="3" fontId="15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readingOrder="0" shrinkToFit="0" vertical="top" wrapText="1"/>
    </xf>
    <xf borderId="1" fillId="3" fontId="7" numFmtId="0" xfId="0" applyAlignment="1" applyBorder="1" applyFill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left" shrinkToFit="0" vertical="top" wrapText="0"/>
    </xf>
    <xf borderId="1" fillId="3" fontId="2" numFmtId="167" xfId="0" applyAlignment="1" applyBorder="1" applyFill="1" applyFont="1" applyNumberFormat="1">
      <alignment readingOrder="0" shrinkToFit="0" vertical="top" wrapText="1"/>
    </xf>
    <xf borderId="1" fillId="3" fontId="7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shrinkToFit="0" vertical="center" wrapText="0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14" fillId="3" fontId="13" numFmtId="0" xfId="0" applyAlignment="1" applyBorder="1" applyFill="1" applyFont="1">
      <alignment shrinkToFit="0" vertical="bottom" wrapText="1"/>
    </xf>
    <xf borderId="40" fillId="3" fontId="4" numFmtId="0" xfId="0" applyAlignment="1" applyBorder="1" applyFill="1" applyFont="1">
      <alignment horizontal="center" shrinkToFit="0" vertical="bottom" wrapText="0"/>
    </xf>
    <xf borderId="41" fillId="0" fontId="11" numFmtId="0" xfId="0" applyBorder="1" applyFont="1"/>
    <xf borderId="38" fillId="0" fontId="11" numFmtId="0" xfId="0" applyBorder="1" applyFont="1"/>
    <xf borderId="14" fillId="3" fontId="2" numFmtId="0" xfId="0" applyAlignment="1" applyBorder="1" applyFill="1" applyFont="1">
      <alignment shrinkToFit="0" vertical="bottom" wrapText="1"/>
    </xf>
    <xf borderId="1" fillId="3" fontId="14" numFmtId="0" xfId="0" applyAlignment="1" applyBorder="1" applyFill="1" applyFont="1">
      <alignment shrinkToFit="0" vertical="bottom" wrapText="0"/>
    </xf>
    <xf borderId="1" fillId="3" fontId="2" numFmtId="165" xfId="0" applyAlignment="1" applyBorder="1" applyFill="1" applyFont="1" applyNumberFormat="1">
      <alignment shrinkToFit="0" vertical="bottom" wrapText="0"/>
    </xf>
    <xf borderId="12" fillId="3" fontId="10" numFmtId="0" xfId="0" applyAlignment="1" applyBorder="1" applyFill="1" applyFont="1">
      <alignment horizontal="left" shrinkToFit="0" vertical="center" wrapText="0"/>
    </xf>
    <xf borderId="5" fillId="3" fontId="10" numFmtId="0" xfId="0" applyAlignment="1" applyBorder="1" applyFill="1" applyFont="1">
      <alignment horizontal="left" shrinkToFit="0" vertical="bottom" wrapText="0"/>
    </xf>
    <xf borderId="42" fillId="3" fontId="10" numFmtId="0" xfId="0" applyAlignment="1" applyBorder="1" applyFill="1" applyFont="1">
      <alignment horizontal="left" readingOrder="0" shrinkToFit="0" vertical="bottom" wrapText="0"/>
    </xf>
    <xf borderId="42" fillId="3" fontId="2" numFmtId="0" xfId="0" applyAlignment="1" applyBorder="1" applyFill="1" applyFont="1">
      <alignment shrinkToFit="0" vertical="top" wrapText="0"/>
    </xf>
    <xf borderId="42" fillId="3" fontId="10" numFmtId="0" xfId="0" applyAlignment="1" applyBorder="1" applyFill="1" applyFont="1">
      <alignment horizontal="left" shrinkToFit="0" vertical="bottom" wrapText="0"/>
    </xf>
    <xf borderId="12" fillId="3" fontId="10" numFmtId="0" xfId="0" applyAlignment="1" applyBorder="1" applyFill="1" applyFont="1">
      <alignment shrinkToFit="0" vertical="center" wrapText="0"/>
    </xf>
    <xf borderId="42" fillId="3" fontId="10" numFmtId="14" xfId="0" applyAlignment="1" applyBorder="1" applyFill="1" applyFont="1" applyNumberFormat="1">
      <alignment horizontal="left" readingOrder="0" shrinkToFit="0" vertical="bottom" wrapText="0"/>
    </xf>
    <xf borderId="42" fillId="3" fontId="12" numFmtId="0" xfId="0" applyAlignment="1" applyBorder="1" applyFill="1" applyFont="1">
      <alignment shrinkToFit="0" vertical="top" wrapText="0"/>
    </xf>
    <xf borderId="1" fillId="3" fontId="12" numFmtId="0" xfId="0" applyAlignment="1" applyBorder="1" applyFill="1" applyFont="1">
      <alignment shrinkToFit="0" vertical="bottom" wrapText="0"/>
    </xf>
    <xf borderId="43" fillId="3" fontId="2" numFmtId="0" xfId="0" applyAlignment="1" applyBorder="1" applyFill="1" applyFont="1">
      <alignment shrinkToFit="0" vertical="bottom" wrapText="0"/>
    </xf>
    <xf borderId="12" fillId="5" fontId="16" numFmtId="0" xfId="0" applyAlignment="1" applyBorder="1" applyFill="1" applyFont="1">
      <alignment horizontal="center" shrinkToFit="0" vertical="center" wrapText="1"/>
    </xf>
    <xf borderId="13" fillId="5" fontId="16" numFmtId="0" xfId="0" applyAlignment="1" applyBorder="1" applyFill="1" applyFont="1">
      <alignment horizontal="center" shrinkToFit="0" vertical="center" wrapText="1"/>
    </xf>
    <xf borderId="40" fillId="3" fontId="2" numFmtId="0" xfId="0" applyAlignment="1" applyBorder="1" applyFill="1" applyFont="1">
      <alignment shrinkToFit="0" vertical="bottom" wrapText="0"/>
    </xf>
    <xf borderId="44" fillId="5" fontId="24" numFmtId="0" xfId="0" applyAlignment="1" applyBorder="1" applyFill="1" applyFont="1">
      <alignment horizontal="center" vertical="bottom"/>
    </xf>
    <xf borderId="12" fillId="6" fontId="20" numFmtId="0" xfId="0" applyAlignment="1" applyBorder="1" applyFill="1" applyFont="1">
      <alignment readingOrder="0" vertical="bottom"/>
    </xf>
    <xf borderId="24" fillId="5" fontId="24" numFmtId="0" xfId="0" applyAlignment="1" applyBorder="1" applyFill="1" applyFont="1">
      <alignment horizontal="center" vertical="bottom"/>
    </xf>
    <xf borderId="12" fillId="6" fontId="20" numFmtId="0" xfId="0" applyAlignment="1" applyBorder="1" applyFill="1" applyFont="1">
      <alignment shrinkToFit="0" vertical="bottom" wrapText="1"/>
    </xf>
    <xf borderId="24" fillId="5" fontId="24" numFmtId="0" xfId="0" applyAlignment="1" applyBorder="1" applyFill="1" applyFont="1">
      <alignment horizontal="center" shrinkToFit="0" vertical="bottom" wrapText="1"/>
    </xf>
    <xf borderId="25" fillId="5" fontId="24" numFmtId="0" xfId="0" applyAlignment="1" applyBorder="1" applyFill="1" applyFont="1">
      <alignment horizontal="center" vertical="bottom"/>
    </xf>
    <xf borderId="45" fillId="5" fontId="24" numFmtId="0" xfId="0" applyAlignment="1" applyBorder="1" applyFill="1" applyFont="1">
      <alignment horizontal="center" shrinkToFit="0" vertical="bottom" wrapText="1"/>
    </xf>
    <xf borderId="12" fillId="6" fontId="21" numFmtId="0" xfId="0" applyAlignment="1" applyBorder="1" applyFill="1" applyFont="1">
      <alignment horizontal="center" vertical="bottom"/>
    </xf>
    <xf borderId="38" fillId="3" fontId="2" numFmtId="0" xfId="0" applyAlignment="1" applyBorder="1" applyFill="1" applyFont="1">
      <alignment shrinkToFit="0" vertical="bottom" wrapText="0"/>
    </xf>
    <xf borderId="12" fillId="6" fontId="19" numFmtId="0" xfId="0" applyAlignment="1" applyBorder="1" applyFill="1" applyFont="1">
      <alignment shrinkToFit="0" vertical="top" wrapText="1"/>
    </xf>
    <xf borderId="1" fillId="3" fontId="13" numFmtId="0" xfId="0" applyAlignment="1" applyBorder="1" applyFill="1" applyFont="1">
      <alignment shrinkToFit="0" vertical="top" wrapText="0"/>
    </xf>
    <xf borderId="46" fillId="3" fontId="25" numFmtId="0" xfId="0" applyAlignment="1" applyBorder="1" applyFill="1" applyFont="1">
      <alignment horizontal="center" vertical="bottom"/>
    </xf>
    <xf borderId="12" fillId="7" fontId="20" numFmtId="0" xfId="0" applyAlignment="1" applyBorder="1" applyFill="1" applyFont="1">
      <alignment readingOrder="0" vertical="bottom"/>
    </xf>
    <xf borderId="12" fillId="0" fontId="20" numFmtId="0" xfId="0" applyAlignment="1" applyBorder="1" applyFont="1">
      <alignment shrinkToFit="0" vertical="bottom" wrapText="1"/>
    </xf>
    <xf borderId="2" fillId="3" fontId="25" numFmtId="0" xfId="0" applyAlignment="1" applyBorder="1" applyFill="1" applyFont="1">
      <alignment vertical="bottom"/>
    </xf>
    <xf borderId="12" fillId="7" fontId="20" numFmtId="0" xfId="0" applyAlignment="1" applyBorder="1" applyFill="1" applyFont="1">
      <alignment shrinkToFit="0" vertical="bottom" wrapText="1"/>
    </xf>
    <xf borderId="12" fillId="7" fontId="21" numFmtId="0" xfId="0" applyAlignment="1" applyBorder="1" applyFill="1" applyFont="1">
      <alignment horizontal="center" vertical="bottom"/>
    </xf>
    <xf borderId="2" fillId="3" fontId="25" numFmtId="0" xfId="0" applyAlignment="1" applyBorder="1" applyFill="1" applyFont="1">
      <alignment horizontal="center" vertical="bottom"/>
    </xf>
    <xf borderId="12" fillId="7" fontId="19" numFmtId="0" xfId="0" applyAlignment="1" applyBorder="1" applyFill="1" applyFont="1">
      <alignment shrinkToFit="0" vertical="top" wrapText="1"/>
    </xf>
    <xf borderId="12" fillId="6" fontId="2" numFmtId="0" xfId="0" applyAlignment="1" applyBorder="1" applyFill="1" applyFont="1">
      <alignment shrinkToFit="0" vertical="top" wrapText="1"/>
    </xf>
    <xf borderId="47" fillId="3" fontId="25" numFmtId="0" xfId="0" applyAlignment="1" applyBorder="1" applyFill="1" applyFont="1">
      <alignment horizontal="center" vertical="bottom"/>
    </xf>
    <xf borderId="12" fillId="7" fontId="2" numFmtId="0" xfId="0" applyAlignment="1" applyBorder="1" applyFill="1" applyFont="1">
      <alignment shrinkToFit="0" vertical="top" wrapText="1"/>
    </xf>
    <xf borderId="12" fillId="6" fontId="6" numFmtId="0" xfId="0" applyAlignment="1" applyBorder="1" applyFill="1" applyFont="1">
      <alignment shrinkToFit="0" vertical="bottom" wrapText="0"/>
    </xf>
    <xf borderId="48" fillId="3" fontId="25" numFmtId="0" xfId="0" applyAlignment="1" applyBorder="1" applyFill="1" applyFont="1">
      <alignment horizontal="center" vertical="bottom"/>
    </xf>
    <xf borderId="12" fillId="7" fontId="6" numFmtId="0" xfId="0" applyAlignment="1" applyBorder="1" applyFill="1" applyFont="1">
      <alignment shrinkToFit="0" vertical="bottom" wrapText="0"/>
    </xf>
    <xf borderId="12" fillId="6" fontId="2" numFmtId="0" xfId="0" applyAlignment="1" applyBorder="1" applyFill="1" applyFont="1">
      <alignment shrinkToFit="0" vertical="bottom" wrapText="0"/>
    </xf>
    <xf borderId="49" fillId="3" fontId="2" numFmtId="0" xfId="0" applyAlignment="1" applyBorder="1" applyFill="1" applyFont="1">
      <alignment shrinkToFit="0" vertical="bottom" wrapText="0"/>
    </xf>
    <xf borderId="46" fillId="3" fontId="20" numFmtId="0" xfId="0" applyAlignment="1" applyBorder="1" applyFill="1" applyFont="1">
      <alignment vertical="bottom"/>
    </xf>
    <xf borderId="2" fillId="3" fontId="20" numFmtId="0" xfId="0" applyAlignment="1" applyBorder="1" applyFill="1" applyFont="1">
      <alignment vertical="bottom"/>
    </xf>
    <xf borderId="47" fillId="3" fontId="20" numFmtId="0" xfId="0" applyAlignment="1" applyBorder="1" applyFill="1" applyFont="1">
      <alignment vertical="bottom"/>
    </xf>
    <xf borderId="48" fillId="3" fontId="20" numFmtId="0" xfId="0" applyAlignment="1" applyBorder="1" applyFill="1" applyFont="1">
      <alignment vertical="bottom"/>
    </xf>
    <xf borderId="50" fillId="5" fontId="20" numFmtId="0" xfId="0" applyAlignment="1" applyBorder="1" applyFill="1" applyFont="1">
      <alignment vertical="bottom"/>
    </xf>
    <xf borderId="31" fillId="5" fontId="24" numFmtId="0" xfId="0" applyAlignment="1" applyBorder="1" applyFill="1" applyFont="1">
      <alignment vertical="bottom"/>
    </xf>
    <xf borderId="31" fillId="5" fontId="26" numFmtId="0" xfId="0" applyAlignment="1" applyBorder="1" applyFill="1" applyFont="1">
      <alignment horizontal="center" readingOrder="0" vertical="bottom"/>
    </xf>
    <xf borderId="31" fillId="5" fontId="26" numFmtId="0" xfId="0" applyAlignment="1" applyBorder="1" applyFill="1" applyFont="1">
      <alignment horizontal="center" vertical="bottom"/>
    </xf>
    <xf borderId="51" fillId="5" fontId="26" numFmtId="0" xfId="0" applyAlignment="1" applyBorder="1" applyFill="1" applyFont="1">
      <alignment horizontal="center" vertical="bottom"/>
    </xf>
    <xf borderId="39" fillId="3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1" fillId="3" fontId="2" numFmtId="10" xfId="0" applyAlignment="1" applyBorder="1" applyFill="1" applyFont="1" applyNumberFormat="1">
      <alignment horizontal="center" shrinkToFit="0" vertical="bottom" wrapText="0"/>
    </xf>
    <xf borderId="1" fillId="3" fontId="2" numFmtId="9" xfId="0" applyAlignment="1" applyBorder="1" applyFill="1" applyFont="1" applyNumberFormat="1">
      <alignment horizontal="center" shrinkToFit="0" vertical="bottom" wrapText="0"/>
    </xf>
    <xf borderId="39" fillId="3" fontId="2" numFmtId="9" xfId="0" applyAlignment="1" applyBorder="1" applyFill="1" applyFont="1" applyNumberFormat="1">
      <alignment horizontal="center" shrinkToFit="0" vertical="bottom" wrapText="0"/>
    </xf>
    <xf borderId="1" fillId="3" fontId="27" numFmtId="2" xfId="0" applyAlignment="1" applyBorder="1" applyFill="1" applyFont="1" applyNumberFormat="1">
      <alignment horizontal="right" shrinkToFit="0" vertical="bottom" wrapText="1"/>
    </xf>
    <xf borderId="12" fillId="6" fontId="20" numFmtId="0" xfId="0" applyAlignment="1" applyBorder="1" applyFill="1" applyFont="1">
      <alignment readingOrder="0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4" pivot="0" name="Tìm kiếm chuyến bay-style">
      <tableStyleElement dxfId="1" type="headerRow"/>
      <tableStyleElement dxfId="2" type="firstRowStripe"/>
      <tableStyleElement dxfId="3" type="secondRowStripe"/>
      <tableStyleElement dxfId="1" type="totalRow"/>
    </tableStyle>
    <tableStyle count="4" pivot="0" name="Xem danh sách và chọn chuyến b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ddf476a7-ab6a-4483-929e-0c5f1f6e4bf6}" providerId="google-sheets"/>
</x18tc:personList>
</file>

<file path=xl/tables/table1.xml><?xml version="1.0" encoding="utf-8"?>
<table xmlns="http://schemas.openxmlformats.org/spreadsheetml/2006/main" totalsRowCount="1" ref="A8:H85" displayName="Table_1" name="Table_1" id="1">
  <tableColumns count="8">
    <tableColumn name="ID" id="1"/>
    <tableColumn name="Test Case Description" id="2"/>
    <tableColumn name="Test Case Procedure" id="3"/>
    <tableColumn name="Expected Output" id="4"/>
    <tableColumn name="Inter-test case Dependence" id="5"/>
    <tableColumn name="Result" id="6"/>
    <tableColumn name="Test date" id="7"/>
    <tableColumn name="Note" id="8"/>
  </tableColumns>
  <tableStyleInfo name="Tìm kiếm chuyến bay-style" showColumnStripes="0" showFirstColumn="1" showLastColumn="1" showRowStripes="1"/>
</table>
</file>

<file path=xl/tables/table2.xml><?xml version="1.0" encoding="utf-8"?>
<table xmlns="http://schemas.openxmlformats.org/spreadsheetml/2006/main" totalsRowCount="1" ref="A8:H33" displayName="Table_2" name="Table_2" id="2">
  <tableColumns count="8">
    <tableColumn totalsRowLabel="Flight_Select_025" name="ID" id="1"/>
    <tableColumn totalsRowLabel="Kiểm tra click nút [Chọn / Select] chuyển sang trang Nhập thông tin" name="Test Case Description" id="2"/>
    <tableColumn totalsRowLabel="Click nút [Chọn] chuyến bay ưng ý." name="Test Case Procedure" id="3"/>
    <tableColumn totalsRowLabel="Chuyển hướng thành công sang Màn hình Nhập thông tin đặt chỗ." name="Expected Output" id="4"/>
    <tableColumn name="Inter-test case Dependence" id="5"/>
    <tableColumn totalsRowLabel="Untested" name="Result" id="6"/>
    <tableColumn totalsRowLabel="17/10/2026" name="Test date" id="7"/>
    <tableColumn name="Note" id="8"/>
  </tableColumns>
  <tableStyleInfo name="Xem danh sách và chọn chuyến b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1" dT="2020-11-28T06:09:48.00" personId="{ddf476a7-ab6a-4483-929e-0c5f1f6e4bf6}" id="{6b36ae1b-d2a4-4b7e-822b-77327e7f2a35}" done="0">
    <x18tc:text xml:space="preserve">*A: Add
  M: Modify
  D: Delete</x18tc:text>
  </x18tc:threadedComment>
  <x18tc:threadedComment ref="A1" dT="2020-11-28T06:09:48.00" personId="{ddf476a7-ab6a-4483-929e-0c5f1f6e4bf6}" id="{c3bbb381-315f-482f-baff-3cb91c8b1ed2}" done="0">
    <x18tc:text xml:space="preserve">Pass
Fail
Untested
N/A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8" dT="2020-11-28T06:09:48.00" personId="{ddf476a7-ab6a-4483-929e-0c5f1f6e4bf6}" id="{c791eb51-c2dd-4c08-9fd3-9311b51c03ad}" done="0">
    <x18tc:text xml:space="preserve">Pass
Fail
Untested
N/A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8" dT="2020-11-28T06:09:48.00" personId="{ddf476a7-ab6a-4483-929e-0c5f1f6e4bf6}" id="{c405ada2-4913-4a95-92fa-16c697e2c522}" done="0">
    <x18tc:text xml:space="preserve">Pass
Fail
Untested
N/A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8" dT="2020-11-28T06:09:48.00" personId="{ddf476a7-ab6a-4483-929e-0c5f1f6e4bf6}" id="{70b309ba-8313-4927-8dad-d5978497a097}" done="0">
    <x18tc:text xml:space="preserve">Pass
Fail
Untested
N/A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2.43"/>
    <col customWidth="1" min="3" max="3" width="10.57"/>
    <col customWidth="1" min="4" max="4" width="16.57"/>
    <col customWidth="1" min="5" max="5" width="9.14"/>
    <col customWidth="1" min="6" max="6" width="47.71"/>
    <col customWidth="1" min="7" max="7" width="35.43"/>
    <col customWidth="1" min="8" max="26" width="9.14"/>
  </cols>
  <sheetData>
    <row r="1" ht="12.75" customHeight="1">
      <c r="A1" s="4"/>
      <c r="B1" s="7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75.75" customHeight="1">
      <c r="A2" s="16"/>
      <c r="B2" s="21" t="s">
        <v>18</v>
      </c>
      <c r="C2" s="22"/>
      <c r="D2" s="22"/>
      <c r="E2" s="22"/>
      <c r="F2" s="22"/>
      <c r="G2" s="24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2.75" customHeight="1">
      <c r="A3" s="4"/>
      <c r="B3" s="27"/>
      <c r="C3" s="28"/>
      <c r="D3" s="4"/>
      <c r="E3" s="4"/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30" t="s">
        <v>13</v>
      </c>
      <c r="C4" s="31" t="s">
        <v>36</v>
      </c>
      <c r="D4" s="22"/>
      <c r="E4" s="24"/>
      <c r="F4" s="30" t="s">
        <v>41</v>
      </c>
      <c r="G4" s="32" t="s">
        <v>44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30" t="s">
        <v>49</v>
      </c>
      <c r="C5" s="31" t="s">
        <v>50</v>
      </c>
      <c r="D5" s="22"/>
      <c r="E5" s="24"/>
      <c r="F5" s="30" t="s">
        <v>51</v>
      </c>
      <c r="G5" s="35" t="s">
        <v>54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37" t="s">
        <v>59</v>
      </c>
      <c r="C6" s="43" t="str">
        <f>C5&amp;"_TestCase_V0.1"</f>
        <v>TVL_FL_SEARCH_TestCase_V0.1</v>
      </c>
      <c r="D6" s="45"/>
      <c r="E6" s="46"/>
      <c r="F6" s="30" t="s">
        <v>88</v>
      </c>
      <c r="G6" s="47">
        <v>46312.0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4"/>
      <c r="B7" s="48"/>
      <c r="C7" s="49"/>
      <c r="D7" s="50"/>
      <c r="E7" s="51"/>
      <c r="F7" s="30" t="s">
        <v>100</v>
      </c>
      <c r="G7" s="53">
        <v>0.1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4"/>
      <c r="B8" s="57"/>
      <c r="C8" s="28"/>
      <c r="D8" s="4"/>
      <c r="E8" s="4"/>
      <c r="F8" s="27"/>
      <c r="G8" s="2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4"/>
      <c r="B9" s="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4"/>
      <c r="B10" s="61" t="s">
        <v>115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63"/>
      <c r="B11" s="67" t="s">
        <v>123</v>
      </c>
      <c r="C11" s="69" t="s">
        <v>100</v>
      </c>
      <c r="D11" s="69" t="s">
        <v>134</v>
      </c>
      <c r="E11" s="69" t="s">
        <v>135</v>
      </c>
      <c r="F11" s="69" t="s">
        <v>136</v>
      </c>
      <c r="G11" s="71" t="s">
        <v>138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25.5" customHeight="1">
      <c r="A12" s="73"/>
      <c r="B12" s="76">
        <v>46312.0</v>
      </c>
      <c r="C12" s="77" t="s">
        <v>150</v>
      </c>
      <c r="D12" s="73"/>
      <c r="E12" s="78" t="s">
        <v>155</v>
      </c>
      <c r="F12" s="79" t="s">
        <v>158</v>
      </c>
      <c r="G12" s="80" t="s">
        <v>163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21.75" customHeight="1">
      <c r="A13" s="73"/>
      <c r="B13" s="83"/>
      <c r="C13" s="77"/>
      <c r="D13" s="78"/>
      <c r="E13" s="78"/>
      <c r="F13" s="78"/>
      <c r="G13" s="86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9.5" customHeight="1">
      <c r="A14" s="73"/>
      <c r="B14" s="83"/>
      <c r="C14" s="77"/>
      <c r="D14" s="78"/>
      <c r="E14" s="78"/>
      <c r="F14" s="78"/>
      <c r="G14" s="86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21.75" customHeight="1">
      <c r="A15" s="73"/>
      <c r="B15" s="83"/>
      <c r="C15" s="77"/>
      <c r="D15" s="78"/>
      <c r="E15" s="78"/>
      <c r="F15" s="78"/>
      <c r="G15" s="86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9.5" customHeight="1">
      <c r="A16" s="73"/>
      <c r="B16" s="83"/>
      <c r="C16" s="77"/>
      <c r="D16" s="78"/>
      <c r="E16" s="78"/>
      <c r="F16" s="78"/>
      <c r="G16" s="86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21.75" customHeight="1">
      <c r="A17" s="73"/>
      <c r="B17" s="83"/>
      <c r="C17" s="77"/>
      <c r="D17" s="78"/>
      <c r="E17" s="78"/>
      <c r="F17" s="78"/>
      <c r="G17" s="86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9.5" customHeight="1">
      <c r="A18" s="73"/>
      <c r="B18" s="92"/>
      <c r="C18" s="94"/>
      <c r="D18" s="95"/>
      <c r="E18" s="95"/>
      <c r="F18" s="95"/>
      <c r="G18" s="96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4"/>
      <c r="B19" s="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7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7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7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7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7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7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7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7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3.43"/>
    <col customWidth="1" min="3" max="3" width="30.29"/>
    <col customWidth="1" min="4" max="4" width="31.86"/>
    <col customWidth="1" min="5" max="5" width="86.14"/>
    <col customWidth="1" min="6" max="6" width="39.0"/>
    <col customWidth="1" min="7" max="26" width="9.14"/>
  </cols>
  <sheetData>
    <row r="1" ht="25.5" customHeight="1">
      <c r="A1" s="2"/>
      <c r="B1" s="3"/>
      <c r="C1" s="6"/>
      <c r="D1" s="8" t="s">
        <v>6</v>
      </c>
      <c r="E1" s="9"/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3"/>
      <c r="C2" s="6"/>
      <c r="D2" s="14"/>
      <c r="E2" s="14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17" t="s">
        <v>13</v>
      </c>
      <c r="C3" s="19"/>
      <c r="D3" s="34" t="str">
        <f>Cover!C4</f>
        <v>Traveloka - Tìm kiếm chuyến bay</v>
      </c>
      <c r="E3" s="22"/>
      <c r="F3" s="2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17" t="s">
        <v>49</v>
      </c>
      <c r="C4" s="19"/>
      <c r="D4" s="34" t="str">
        <f>Cover!C5</f>
        <v>TVL_FL_SEARCH</v>
      </c>
      <c r="E4" s="22"/>
      <c r="F4" s="2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4.75" customHeight="1">
      <c r="A5" s="38"/>
      <c r="B5" s="40" t="s">
        <v>70</v>
      </c>
      <c r="C5" s="24"/>
      <c r="D5" s="42" t="s">
        <v>77</v>
      </c>
      <c r="E5" s="22"/>
      <c r="F5" s="24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2.75" customHeight="1">
      <c r="A6" s="2"/>
      <c r="B6" s="4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54"/>
      <c r="B7" s="56"/>
      <c r="C7" s="59"/>
      <c r="D7" s="59"/>
      <c r="E7" s="59"/>
      <c r="F7" s="59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1.0" customHeight="1">
      <c r="A8" s="60"/>
      <c r="B8" s="62" t="s">
        <v>116</v>
      </c>
      <c r="C8" s="65" t="s">
        <v>121</v>
      </c>
      <c r="D8" s="65" t="s">
        <v>122</v>
      </c>
      <c r="E8" s="66" t="s">
        <v>126</v>
      </c>
      <c r="F8" s="68" t="s">
        <v>130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2.75" customHeight="1">
      <c r="A9" s="2"/>
      <c r="B9" s="72">
        <v>1.0</v>
      </c>
      <c r="C9" s="74" t="s">
        <v>142</v>
      </c>
      <c r="D9" s="81" t="s">
        <v>142</v>
      </c>
      <c r="E9" s="84" t="s">
        <v>171</v>
      </c>
      <c r="F9" s="87" t="s">
        <v>175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72">
        <v>2.0</v>
      </c>
      <c r="C10" s="74" t="s">
        <v>182</v>
      </c>
      <c r="D10" s="81" t="s">
        <v>185</v>
      </c>
      <c r="E10" s="91" t="s">
        <v>190</v>
      </c>
      <c r="F10" s="93" t="s">
        <v>192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72">
        <v>3.0</v>
      </c>
      <c r="C11" s="74" t="s">
        <v>197</v>
      </c>
      <c r="D11" s="81" t="s">
        <v>200</v>
      </c>
      <c r="E11" s="97" t="s">
        <v>204</v>
      </c>
      <c r="F11" s="93" t="s">
        <v>206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98"/>
      <c r="C12" s="100"/>
      <c r="D12" s="102"/>
      <c r="E12" s="102"/>
      <c r="F12" s="10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98"/>
      <c r="C13" s="100"/>
      <c r="D13" s="102"/>
      <c r="E13" s="102"/>
      <c r="F13" s="10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98"/>
      <c r="C14" s="100"/>
      <c r="D14" s="102"/>
      <c r="E14" s="102"/>
      <c r="F14" s="10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98"/>
      <c r="C15" s="100"/>
      <c r="D15" s="102"/>
      <c r="E15" s="102"/>
      <c r="F15" s="10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98"/>
      <c r="C16" s="100"/>
      <c r="D16" s="102"/>
      <c r="E16" s="102"/>
      <c r="F16" s="10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98"/>
      <c r="C17" s="100"/>
      <c r="D17" s="102"/>
      <c r="E17" s="102"/>
      <c r="F17" s="10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105"/>
      <c r="C18" s="106"/>
      <c r="D18" s="108"/>
      <c r="E18" s="108"/>
      <c r="F18" s="10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3"/>
      <c r="C19" s="6"/>
      <c r="D19" s="6"/>
      <c r="E19" s="6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3"/>
      <c r="C20" s="6"/>
      <c r="D20" s="6"/>
      <c r="E20" s="6"/>
      <c r="F20" s="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3"/>
      <c r="C21" s="6"/>
      <c r="D21" s="6"/>
      <c r="E21" s="6"/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3"/>
      <c r="C22" s="6"/>
      <c r="D22" s="6"/>
      <c r="E22" s="6"/>
      <c r="F22" s="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3"/>
      <c r="C23" s="6"/>
      <c r="D23" s="6"/>
      <c r="E23" s="6"/>
      <c r="F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3"/>
      <c r="C24" s="6"/>
      <c r="D24" s="6"/>
      <c r="E24" s="6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3"/>
      <c r="C25" s="6"/>
      <c r="D25" s="6"/>
      <c r="E25" s="6"/>
      <c r="F25" s="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3"/>
      <c r="C26" s="6"/>
      <c r="D26" s="6"/>
      <c r="E26" s="6"/>
      <c r="F26" s="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3"/>
      <c r="C27" s="6"/>
      <c r="D27" s="6"/>
      <c r="E27" s="6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3"/>
      <c r="C28" s="6"/>
      <c r="D28" s="6"/>
      <c r="E28" s="6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3"/>
      <c r="C29" s="6"/>
      <c r="D29" s="6"/>
      <c r="E29" s="6"/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3"/>
      <c r="C30" s="6"/>
      <c r="D30" s="6"/>
      <c r="E30" s="6"/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3"/>
      <c r="C31" s="6"/>
      <c r="D31" s="6"/>
      <c r="E31" s="6"/>
      <c r="F31" s="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3"/>
      <c r="C32" s="6"/>
      <c r="D32" s="6"/>
      <c r="E32" s="6"/>
      <c r="F32" s="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3"/>
      <c r="C33" s="6"/>
      <c r="D33" s="6"/>
      <c r="E33" s="6"/>
      <c r="F33" s="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3"/>
      <c r="C34" s="6"/>
      <c r="D34" s="6"/>
      <c r="E34" s="6"/>
      <c r="F34" s="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3"/>
      <c r="C35" s="6"/>
      <c r="D35" s="6"/>
      <c r="E35" s="6"/>
      <c r="F35" s="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3"/>
      <c r="C36" s="6"/>
      <c r="D36" s="6"/>
      <c r="E36" s="6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3"/>
      <c r="C37" s="6"/>
      <c r="D37" s="6"/>
      <c r="E37" s="6"/>
      <c r="F37" s="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3"/>
      <c r="C38" s="6"/>
      <c r="D38" s="6"/>
      <c r="E38" s="6"/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3"/>
      <c r="C39" s="6"/>
      <c r="D39" s="6"/>
      <c r="E39" s="6"/>
      <c r="F39" s="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3"/>
      <c r="C40" s="6"/>
      <c r="D40" s="6"/>
      <c r="E40" s="6"/>
      <c r="F40" s="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3"/>
      <c r="C41" s="6"/>
      <c r="D41" s="6"/>
      <c r="E41" s="6"/>
      <c r="F41" s="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3"/>
      <c r="C42" s="6"/>
      <c r="D42" s="6"/>
      <c r="E42" s="6"/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3"/>
      <c r="C43" s="6"/>
      <c r="D43" s="6"/>
      <c r="E43" s="6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3"/>
      <c r="C44" s="6"/>
      <c r="D44" s="6"/>
      <c r="E44" s="6"/>
      <c r="F44" s="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3"/>
      <c r="C45" s="6"/>
      <c r="D45" s="6"/>
      <c r="E45" s="6"/>
      <c r="F45" s="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3"/>
      <c r="C46" s="6"/>
      <c r="D46" s="6"/>
      <c r="E46" s="6"/>
      <c r="F46" s="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3"/>
      <c r="C47" s="6"/>
      <c r="D47" s="6"/>
      <c r="E47" s="6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3"/>
      <c r="C48" s="6"/>
      <c r="D48" s="6"/>
      <c r="E48" s="6"/>
      <c r="F48" s="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3"/>
      <c r="C49" s="6"/>
      <c r="D49" s="6"/>
      <c r="E49" s="6"/>
      <c r="F49" s="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3"/>
      <c r="C50" s="6"/>
      <c r="D50" s="6"/>
      <c r="E50" s="6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3"/>
      <c r="C51" s="6"/>
      <c r="D51" s="6"/>
      <c r="E51" s="6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3"/>
      <c r="C52" s="6"/>
      <c r="D52" s="6"/>
      <c r="E52" s="6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3"/>
      <c r="C53" s="6"/>
      <c r="D53" s="6"/>
      <c r="E53" s="6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3"/>
      <c r="C54" s="6"/>
      <c r="D54" s="6"/>
      <c r="E54" s="6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3"/>
      <c r="C55" s="6"/>
      <c r="D55" s="6"/>
      <c r="E55" s="6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3"/>
      <c r="C56" s="6"/>
      <c r="D56" s="6"/>
      <c r="E56" s="6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3"/>
      <c r="C57" s="6"/>
      <c r="D57" s="6"/>
      <c r="E57" s="6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3"/>
      <c r="C58" s="6"/>
      <c r="D58" s="6"/>
      <c r="E58" s="6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3"/>
      <c r="C59" s="6"/>
      <c r="D59" s="6"/>
      <c r="E59" s="6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3"/>
      <c r="C60" s="6"/>
      <c r="D60" s="6"/>
      <c r="E60" s="6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3"/>
      <c r="C61" s="6"/>
      <c r="D61" s="6"/>
      <c r="E61" s="6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3"/>
      <c r="C62" s="6"/>
      <c r="D62" s="6"/>
      <c r="E62" s="6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3"/>
      <c r="C63" s="6"/>
      <c r="D63" s="6"/>
      <c r="E63" s="6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3"/>
      <c r="C64" s="6"/>
      <c r="D64" s="6"/>
      <c r="E64" s="6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3"/>
      <c r="C65" s="6"/>
      <c r="D65" s="6"/>
      <c r="E65" s="6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3"/>
      <c r="C66" s="6"/>
      <c r="D66" s="6"/>
      <c r="E66" s="6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3"/>
      <c r="C67" s="6"/>
      <c r="D67" s="6"/>
      <c r="E67" s="6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3"/>
      <c r="C68" s="6"/>
      <c r="D68" s="6"/>
      <c r="E68" s="6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3"/>
      <c r="C69" s="6"/>
      <c r="D69" s="6"/>
      <c r="E69" s="6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3"/>
      <c r="C70" s="6"/>
      <c r="D70" s="6"/>
      <c r="E70" s="6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3"/>
      <c r="C71" s="6"/>
      <c r="D71" s="6"/>
      <c r="E71" s="6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3"/>
      <c r="C72" s="6"/>
      <c r="D72" s="6"/>
      <c r="E72" s="6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3"/>
      <c r="C73" s="6"/>
      <c r="D73" s="6"/>
      <c r="E73" s="6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3"/>
      <c r="C74" s="6"/>
      <c r="D74" s="6"/>
      <c r="E74" s="6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3"/>
      <c r="C75" s="6"/>
      <c r="D75" s="6"/>
      <c r="E75" s="6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3"/>
      <c r="C76" s="6"/>
      <c r="D76" s="6"/>
      <c r="E76" s="6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3"/>
      <c r="C77" s="6"/>
      <c r="D77" s="6"/>
      <c r="E77" s="6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3"/>
      <c r="C78" s="6"/>
      <c r="D78" s="6"/>
      <c r="E78" s="6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3"/>
      <c r="C79" s="6"/>
      <c r="D79" s="6"/>
      <c r="E79" s="6"/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3"/>
      <c r="C80" s="6"/>
      <c r="D80" s="6"/>
      <c r="E80" s="6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3"/>
      <c r="C81" s="6"/>
      <c r="D81" s="6"/>
      <c r="E81" s="6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3"/>
      <c r="C82" s="6"/>
      <c r="D82" s="6"/>
      <c r="E82" s="6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3"/>
      <c r="C83" s="6"/>
      <c r="D83" s="6"/>
      <c r="E83" s="6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3"/>
      <c r="C84" s="6"/>
      <c r="D84" s="6"/>
      <c r="E84" s="6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3"/>
      <c r="C85" s="6"/>
      <c r="D85" s="6"/>
      <c r="E85" s="6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3"/>
      <c r="C86" s="6"/>
      <c r="D86" s="6"/>
      <c r="E86" s="6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3"/>
      <c r="C87" s="6"/>
      <c r="D87" s="6"/>
      <c r="E87" s="6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3"/>
      <c r="C88" s="6"/>
      <c r="D88" s="6"/>
      <c r="E88" s="6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3"/>
      <c r="C89" s="6"/>
      <c r="D89" s="6"/>
      <c r="E89" s="6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3"/>
      <c r="C90" s="6"/>
      <c r="D90" s="6"/>
      <c r="E90" s="6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3"/>
      <c r="C91" s="6"/>
      <c r="D91" s="6"/>
      <c r="E91" s="6"/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3"/>
      <c r="C92" s="6"/>
      <c r="D92" s="6"/>
      <c r="E92" s="6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3"/>
      <c r="C93" s="6"/>
      <c r="D93" s="6"/>
      <c r="E93" s="6"/>
      <c r="F93" s="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3"/>
      <c r="C94" s="6"/>
      <c r="D94" s="6"/>
      <c r="E94" s="6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3"/>
      <c r="C95" s="6"/>
      <c r="D95" s="6"/>
      <c r="E95" s="6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3"/>
      <c r="C96" s="6"/>
      <c r="D96" s="6"/>
      <c r="E96" s="6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3"/>
      <c r="C97" s="6"/>
      <c r="D97" s="6"/>
      <c r="E97" s="6"/>
      <c r="F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3"/>
      <c r="C98" s="6"/>
      <c r="D98" s="6"/>
      <c r="E98" s="6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3"/>
      <c r="C99" s="6"/>
      <c r="D99" s="6"/>
      <c r="E99" s="6"/>
      <c r="F99" s="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3"/>
      <c r="C100" s="6"/>
      <c r="D100" s="6"/>
      <c r="E100" s="6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3"/>
      <c r="C101" s="6"/>
      <c r="D101" s="6"/>
      <c r="E101" s="6"/>
      <c r="F101" s="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3"/>
      <c r="C102" s="6"/>
      <c r="D102" s="6"/>
      <c r="E102" s="6"/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3"/>
      <c r="C103" s="6"/>
      <c r="D103" s="6"/>
      <c r="E103" s="6"/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3"/>
      <c r="C104" s="6"/>
      <c r="D104" s="6"/>
      <c r="E104" s="6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3"/>
      <c r="C105" s="6"/>
      <c r="D105" s="6"/>
      <c r="E105" s="6"/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3"/>
      <c r="C106" s="6"/>
      <c r="D106" s="6"/>
      <c r="E106" s="6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3"/>
      <c r="C107" s="6"/>
      <c r="D107" s="6"/>
      <c r="E107" s="6"/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3"/>
      <c r="C108" s="6"/>
      <c r="D108" s="6"/>
      <c r="E108" s="6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3"/>
      <c r="C109" s="6"/>
      <c r="D109" s="6"/>
      <c r="E109" s="6"/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3"/>
      <c r="C110" s="6"/>
      <c r="D110" s="6"/>
      <c r="E110" s="6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3"/>
      <c r="C111" s="6"/>
      <c r="D111" s="6"/>
      <c r="E111" s="6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3"/>
      <c r="C112" s="6"/>
      <c r="D112" s="6"/>
      <c r="E112" s="6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3"/>
      <c r="C113" s="6"/>
      <c r="D113" s="6"/>
      <c r="E113" s="6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3"/>
      <c r="C114" s="6"/>
      <c r="D114" s="6"/>
      <c r="E114" s="6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3"/>
      <c r="C115" s="6"/>
      <c r="D115" s="6"/>
      <c r="E115" s="6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3"/>
      <c r="C116" s="6"/>
      <c r="D116" s="6"/>
      <c r="E116" s="6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3"/>
      <c r="C117" s="6"/>
      <c r="D117" s="6"/>
      <c r="E117" s="6"/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3"/>
      <c r="C118" s="6"/>
      <c r="D118" s="6"/>
      <c r="E118" s="6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3"/>
      <c r="C119" s="6"/>
      <c r="D119" s="6"/>
      <c r="E119" s="6"/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3"/>
      <c r="C120" s="6"/>
      <c r="D120" s="6"/>
      <c r="E120" s="6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3"/>
      <c r="C121" s="6"/>
      <c r="D121" s="6"/>
      <c r="E121" s="6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3"/>
      <c r="C122" s="6"/>
      <c r="D122" s="6"/>
      <c r="E122" s="6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3"/>
      <c r="C123" s="6"/>
      <c r="D123" s="6"/>
      <c r="E123" s="6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3"/>
      <c r="C124" s="6"/>
      <c r="D124" s="6"/>
      <c r="E124" s="6"/>
      <c r="F124" s="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3"/>
      <c r="C125" s="6"/>
      <c r="D125" s="6"/>
      <c r="E125" s="6"/>
      <c r="F125" s="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3"/>
      <c r="C126" s="6"/>
      <c r="D126" s="6"/>
      <c r="E126" s="6"/>
      <c r="F126" s="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3"/>
      <c r="C127" s="6"/>
      <c r="D127" s="6"/>
      <c r="E127" s="6"/>
      <c r="F127" s="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3"/>
      <c r="C128" s="6"/>
      <c r="D128" s="6"/>
      <c r="E128" s="6"/>
      <c r="F128" s="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3"/>
      <c r="C129" s="6"/>
      <c r="D129" s="6"/>
      <c r="E129" s="6"/>
      <c r="F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3"/>
      <c r="C130" s="6"/>
      <c r="D130" s="6"/>
      <c r="E130" s="6"/>
      <c r="F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3"/>
      <c r="C131" s="6"/>
      <c r="D131" s="6"/>
      <c r="E131" s="6"/>
      <c r="F131" s="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3"/>
      <c r="C132" s="6"/>
      <c r="D132" s="6"/>
      <c r="E132" s="6"/>
      <c r="F132" s="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3"/>
      <c r="C133" s="6"/>
      <c r="D133" s="6"/>
      <c r="E133" s="6"/>
      <c r="F133" s="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3"/>
      <c r="C134" s="6"/>
      <c r="D134" s="6"/>
      <c r="E134" s="6"/>
      <c r="F134" s="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3"/>
      <c r="C135" s="6"/>
      <c r="D135" s="6"/>
      <c r="E135" s="6"/>
      <c r="F135" s="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3"/>
      <c r="C136" s="6"/>
      <c r="D136" s="6"/>
      <c r="E136" s="6"/>
      <c r="F136" s="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3"/>
      <c r="C137" s="6"/>
      <c r="D137" s="6"/>
      <c r="E137" s="6"/>
      <c r="F137" s="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3"/>
      <c r="C138" s="6"/>
      <c r="D138" s="6"/>
      <c r="E138" s="6"/>
      <c r="F138" s="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3"/>
      <c r="C139" s="6"/>
      <c r="D139" s="6"/>
      <c r="E139" s="6"/>
      <c r="F139" s="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3"/>
      <c r="C140" s="6"/>
      <c r="D140" s="6"/>
      <c r="E140" s="6"/>
      <c r="F140" s="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3"/>
      <c r="C141" s="6"/>
      <c r="D141" s="6"/>
      <c r="E141" s="6"/>
      <c r="F141" s="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3"/>
      <c r="C142" s="6"/>
      <c r="D142" s="6"/>
      <c r="E142" s="6"/>
      <c r="F142" s="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3"/>
      <c r="C143" s="6"/>
      <c r="D143" s="6"/>
      <c r="E143" s="6"/>
      <c r="F143" s="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3"/>
      <c r="C144" s="6"/>
      <c r="D144" s="6"/>
      <c r="E144" s="6"/>
      <c r="F144" s="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3"/>
      <c r="C145" s="6"/>
      <c r="D145" s="6"/>
      <c r="E145" s="6"/>
      <c r="F145" s="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3"/>
      <c r="C146" s="6"/>
      <c r="D146" s="6"/>
      <c r="E146" s="6"/>
      <c r="F146" s="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3"/>
      <c r="C147" s="6"/>
      <c r="D147" s="6"/>
      <c r="E147" s="6"/>
      <c r="F147" s="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3"/>
      <c r="C148" s="6"/>
      <c r="D148" s="6"/>
      <c r="E148" s="6"/>
      <c r="F148" s="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3"/>
      <c r="C149" s="6"/>
      <c r="D149" s="6"/>
      <c r="E149" s="6"/>
      <c r="F149" s="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3"/>
      <c r="C150" s="6"/>
      <c r="D150" s="6"/>
      <c r="E150" s="6"/>
      <c r="F150" s="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3"/>
      <c r="C151" s="6"/>
      <c r="D151" s="6"/>
      <c r="E151" s="6"/>
      <c r="F151" s="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3"/>
      <c r="C152" s="6"/>
      <c r="D152" s="6"/>
      <c r="E152" s="6"/>
      <c r="F152" s="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3"/>
      <c r="C153" s="6"/>
      <c r="D153" s="6"/>
      <c r="E153" s="6"/>
      <c r="F153" s="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3"/>
      <c r="C154" s="6"/>
      <c r="D154" s="6"/>
      <c r="E154" s="6"/>
      <c r="F154" s="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3"/>
      <c r="C155" s="6"/>
      <c r="D155" s="6"/>
      <c r="E155" s="6"/>
      <c r="F155" s="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3"/>
      <c r="C156" s="6"/>
      <c r="D156" s="6"/>
      <c r="E156" s="6"/>
      <c r="F156" s="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3"/>
      <c r="C157" s="6"/>
      <c r="D157" s="6"/>
      <c r="E157" s="6"/>
      <c r="F157" s="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3"/>
      <c r="C158" s="6"/>
      <c r="D158" s="6"/>
      <c r="E158" s="6"/>
      <c r="F158" s="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3"/>
      <c r="C159" s="6"/>
      <c r="D159" s="6"/>
      <c r="E159" s="6"/>
      <c r="F159" s="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3"/>
      <c r="C160" s="6"/>
      <c r="D160" s="6"/>
      <c r="E160" s="6"/>
      <c r="F160" s="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3"/>
      <c r="C161" s="6"/>
      <c r="D161" s="6"/>
      <c r="E161" s="6"/>
      <c r="F161" s="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3"/>
      <c r="C162" s="6"/>
      <c r="D162" s="6"/>
      <c r="E162" s="6"/>
      <c r="F162" s="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3"/>
      <c r="C163" s="6"/>
      <c r="D163" s="6"/>
      <c r="E163" s="6"/>
      <c r="F163" s="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3"/>
      <c r="C164" s="6"/>
      <c r="D164" s="6"/>
      <c r="E164" s="6"/>
      <c r="F164" s="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3"/>
      <c r="C165" s="6"/>
      <c r="D165" s="6"/>
      <c r="E165" s="6"/>
      <c r="F165" s="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3"/>
      <c r="C166" s="6"/>
      <c r="D166" s="6"/>
      <c r="E166" s="6"/>
      <c r="F166" s="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3"/>
      <c r="C167" s="6"/>
      <c r="D167" s="6"/>
      <c r="E167" s="6"/>
      <c r="F167" s="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3"/>
      <c r="C168" s="6"/>
      <c r="D168" s="6"/>
      <c r="E168" s="6"/>
      <c r="F168" s="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3"/>
      <c r="C169" s="6"/>
      <c r="D169" s="6"/>
      <c r="E169" s="6"/>
      <c r="F169" s="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3"/>
      <c r="C170" s="6"/>
      <c r="D170" s="6"/>
      <c r="E170" s="6"/>
      <c r="F170" s="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3"/>
      <c r="C171" s="6"/>
      <c r="D171" s="6"/>
      <c r="E171" s="6"/>
      <c r="F171" s="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3"/>
      <c r="C172" s="6"/>
      <c r="D172" s="6"/>
      <c r="E172" s="6"/>
      <c r="F172" s="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3"/>
      <c r="C173" s="6"/>
      <c r="D173" s="6"/>
      <c r="E173" s="6"/>
      <c r="F173" s="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3"/>
      <c r="C174" s="6"/>
      <c r="D174" s="6"/>
      <c r="E174" s="6"/>
      <c r="F174" s="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3"/>
      <c r="C175" s="6"/>
      <c r="D175" s="6"/>
      <c r="E175" s="6"/>
      <c r="F175" s="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3"/>
      <c r="C176" s="6"/>
      <c r="D176" s="6"/>
      <c r="E176" s="6"/>
      <c r="F176" s="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3"/>
      <c r="C177" s="6"/>
      <c r="D177" s="6"/>
      <c r="E177" s="6"/>
      <c r="F177" s="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3"/>
      <c r="C178" s="6"/>
      <c r="D178" s="6"/>
      <c r="E178" s="6"/>
      <c r="F178" s="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3"/>
      <c r="C179" s="6"/>
      <c r="D179" s="6"/>
      <c r="E179" s="6"/>
      <c r="F179" s="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3"/>
      <c r="C180" s="6"/>
      <c r="D180" s="6"/>
      <c r="E180" s="6"/>
      <c r="F180" s="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3"/>
      <c r="C181" s="6"/>
      <c r="D181" s="6"/>
      <c r="E181" s="6"/>
      <c r="F181" s="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3"/>
      <c r="C182" s="6"/>
      <c r="D182" s="6"/>
      <c r="E182" s="6"/>
      <c r="F182" s="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3"/>
      <c r="C183" s="6"/>
      <c r="D183" s="6"/>
      <c r="E183" s="6"/>
      <c r="F183" s="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3"/>
      <c r="C184" s="6"/>
      <c r="D184" s="6"/>
      <c r="E184" s="6"/>
      <c r="F184" s="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3"/>
      <c r="C185" s="6"/>
      <c r="D185" s="6"/>
      <c r="E185" s="6"/>
      <c r="F185" s="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3"/>
      <c r="C186" s="6"/>
      <c r="D186" s="6"/>
      <c r="E186" s="6"/>
      <c r="F186" s="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3"/>
      <c r="C187" s="6"/>
      <c r="D187" s="6"/>
      <c r="E187" s="6"/>
      <c r="F187" s="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3"/>
      <c r="C188" s="6"/>
      <c r="D188" s="6"/>
      <c r="E188" s="6"/>
      <c r="F188" s="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3"/>
      <c r="C189" s="6"/>
      <c r="D189" s="6"/>
      <c r="E189" s="6"/>
      <c r="F189" s="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3"/>
      <c r="C190" s="6"/>
      <c r="D190" s="6"/>
      <c r="E190" s="6"/>
      <c r="F190" s="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3"/>
      <c r="C191" s="6"/>
      <c r="D191" s="6"/>
      <c r="E191" s="6"/>
      <c r="F191" s="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3"/>
      <c r="C192" s="6"/>
      <c r="D192" s="6"/>
      <c r="E192" s="6"/>
      <c r="F192" s="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3"/>
      <c r="C193" s="6"/>
      <c r="D193" s="6"/>
      <c r="E193" s="6"/>
      <c r="F193" s="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3"/>
      <c r="C194" s="6"/>
      <c r="D194" s="6"/>
      <c r="E194" s="6"/>
      <c r="F194" s="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3"/>
      <c r="C195" s="6"/>
      <c r="D195" s="6"/>
      <c r="E195" s="6"/>
      <c r="F195" s="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3"/>
      <c r="C196" s="6"/>
      <c r="D196" s="6"/>
      <c r="E196" s="6"/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3"/>
      <c r="C197" s="6"/>
      <c r="D197" s="6"/>
      <c r="E197" s="6"/>
      <c r="F197" s="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3"/>
      <c r="C198" s="6"/>
      <c r="D198" s="6"/>
      <c r="E198" s="6"/>
      <c r="F198" s="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3"/>
      <c r="C199" s="6"/>
      <c r="D199" s="6"/>
      <c r="E199" s="6"/>
      <c r="F199" s="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3"/>
      <c r="C200" s="6"/>
      <c r="D200" s="6"/>
      <c r="E200" s="6"/>
      <c r="F200" s="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3"/>
      <c r="C201" s="6"/>
      <c r="D201" s="6"/>
      <c r="E201" s="6"/>
      <c r="F201" s="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3"/>
      <c r="C202" s="6"/>
      <c r="D202" s="6"/>
      <c r="E202" s="6"/>
      <c r="F202" s="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3"/>
      <c r="C203" s="6"/>
      <c r="D203" s="6"/>
      <c r="E203" s="6"/>
      <c r="F203" s="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3"/>
      <c r="C204" s="6"/>
      <c r="D204" s="6"/>
      <c r="E204" s="6"/>
      <c r="F204" s="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3"/>
      <c r="C205" s="6"/>
      <c r="D205" s="6"/>
      <c r="E205" s="6"/>
      <c r="F205" s="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3"/>
      <c r="C206" s="6"/>
      <c r="D206" s="6"/>
      <c r="E206" s="6"/>
      <c r="F206" s="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3"/>
      <c r="C207" s="6"/>
      <c r="D207" s="6"/>
      <c r="E207" s="6"/>
      <c r="F207" s="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3"/>
      <c r="C208" s="6"/>
      <c r="D208" s="6"/>
      <c r="E208" s="6"/>
      <c r="F208" s="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3"/>
      <c r="C209" s="6"/>
      <c r="D209" s="6"/>
      <c r="E209" s="6"/>
      <c r="F209" s="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3"/>
      <c r="C210" s="6"/>
      <c r="D210" s="6"/>
      <c r="E210" s="6"/>
      <c r="F210" s="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3"/>
      <c r="C211" s="6"/>
      <c r="D211" s="6"/>
      <c r="E211" s="6"/>
      <c r="F211" s="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3"/>
      <c r="C212" s="6"/>
      <c r="D212" s="6"/>
      <c r="E212" s="6"/>
      <c r="F212" s="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3"/>
      <c r="C213" s="6"/>
      <c r="D213" s="6"/>
      <c r="E213" s="6"/>
      <c r="F213" s="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3"/>
      <c r="C214" s="6"/>
      <c r="D214" s="6"/>
      <c r="E214" s="6"/>
      <c r="F214" s="6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3"/>
      <c r="C215" s="6"/>
      <c r="D215" s="6"/>
      <c r="E215" s="6"/>
      <c r="F215" s="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3"/>
      <c r="C216" s="6"/>
      <c r="D216" s="6"/>
      <c r="E216" s="6"/>
      <c r="F216" s="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3"/>
      <c r="C217" s="6"/>
      <c r="D217" s="6"/>
      <c r="E217" s="6"/>
      <c r="F217" s="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3"/>
      <c r="C218" s="6"/>
      <c r="D218" s="6"/>
      <c r="E218" s="6"/>
      <c r="F218" s="6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3"/>
      <c r="C219" s="6"/>
      <c r="D219" s="6"/>
      <c r="E219" s="6"/>
      <c r="F219" s="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3"/>
      <c r="C220" s="6"/>
      <c r="D220" s="6"/>
      <c r="E220" s="6"/>
      <c r="F220" s="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3"/>
      <c r="C221" s="6"/>
      <c r="D221" s="6"/>
      <c r="E221" s="6"/>
      <c r="F221" s="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3"/>
      <c r="C222" s="6"/>
      <c r="D222" s="6"/>
      <c r="E222" s="6"/>
      <c r="F222" s="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3"/>
      <c r="C223" s="6"/>
      <c r="D223" s="6"/>
      <c r="E223" s="6"/>
      <c r="F223" s="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3"/>
      <c r="C224" s="6"/>
      <c r="D224" s="6"/>
      <c r="E224" s="6"/>
      <c r="F224" s="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3"/>
      <c r="C225" s="6"/>
      <c r="D225" s="6"/>
      <c r="E225" s="6"/>
      <c r="F225" s="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3"/>
      <c r="C226" s="6"/>
      <c r="D226" s="6"/>
      <c r="E226" s="6"/>
      <c r="F226" s="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3"/>
      <c r="C227" s="6"/>
      <c r="D227" s="6"/>
      <c r="E227" s="6"/>
      <c r="F227" s="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3"/>
      <c r="C228" s="6"/>
      <c r="D228" s="6"/>
      <c r="E228" s="6"/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3"/>
      <c r="C229" s="6"/>
      <c r="D229" s="6"/>
      <c r="E229" s="6"/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3"/>
      <c r="C230" s="6"/>
      <c r="D230" s="6"/>
      <c r="E230" s="6"/>
      <c r="F230" s="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3"/>
      <c r="C231" s="6"/>
      <c r="D231" s="6"/>
      <c r="E231" s="6"/>
      <c r="F231" s="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3"/>
      <c r="C232" s="6"/>
      <c r="D232" s="6"/>
      <c r="E232" s="6"/>
      <c r="F232" s="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3"/>
      <c r="C233" s="6"/>
      <c r="D233" s="6"/>
      <c r="E233" s="6"/>
      <c r="F233" s="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3"/>
      <c r="C234" s="6"/>
      <c r="D234" s="6"/>
      <c r="E234" s="6"/>
      <c r="F234" s="6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3"/>
      <c r="C235" s="6"/>
      <c r="D235" s="6"/>
      <c r="E235" s="6"/>
      <c r="F235" s="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3"/>
      <c r="C236" s="6"/>
      <c r="D236" s="6"/>
      <c r="E236" s="6"/>
      <c r="F236" s="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3"/>
      <c r="C237" s="6"/>
      <c r="D237" s="6"/>
      <c r="E237" s="6"/>
      <c r="F237" s="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3"/>
      <c r="C238" s="6"/>
      <c r="D238" s="6"/>
      <c r="E238" s="6"/>
      <c r="F238" s="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3"/>
      <c r="C239" s="6"/>
      <c r="D239" s="6"/>
      <c r="E239" s="6"/>
      <c r="F239" s="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3"/>
      <c r="C240" s="6"/>
      <c r="D240" s="6"/>
      <c r="E240" s="6"/>
      <c r="F240" s="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3"/>
      <c r="C241" s="6"/>
      <c r="D241" s="6"/>
      <c r="E241" s="6"/>
      <c r="F241" s="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3"/>
      <c r="C242" s="6"/>
      <c r="D242" s="6"/>
      <c r="E242" s="6"/>
      <c r="F242" s="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3"/>
      <c r="C243" s="6"/>
      <c r="D243" s="6"/>
      <c r="E243" s="6"/>
      <c r="F243" s="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3"/>
      <c r="C244" s="6"/>
      <c r="D244" s="6"/>
      <c r="E244" s="6"/>
      <c r="F244" s="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3"/>
      <c r="C245" s="6"/>
      <c r="D245" s="6"/>
      <c r="E245" s="6"/>
      <c r="F245" s="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3"/>
      <c r="C246" s="6"/>
      <c r="D246" s="6"/>
      <c r="E246" s="6"/>
      <c r="F246" s="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3"/>
      <c r="C247" s="6"/>
      <c r="D247" s="6"/>
      <c r="E247" s="6"/>
      <c r="F247" s="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3"/>
      <c r="C248" s="6"/>
      <c r="D248" s="6"/>
      <c r="E248" s="6"/>
      <c r="F248" s="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3"/>
      <c r="C249" s="6"/>
      <c r="D249" s="6"/>
      <c r="E249" s="6"/>
      <c r="F249" s="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3"/>
      <c r="C250" s="6"/>
      <c r="D250" s="6"/>
      <c r="E250" s="6"/>
      <c r="F250" s="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3"/>
      <c r="C251" s="6"/>
      <c r="D251" s="6"/>
      <c r="E251" s="6"/>
      <c r="F251" s="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3"/>
      <c r="C252" s="6"/>
      <c r="D252" s="6"/>
      <c r="E252" s="6"/>
      <c r="F252" s="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3"/>
      <c r="C253" s="6"/>
      <c r="D253" s="6"/>
      <c r="E253" s="6"/>
      <c r="F253" s="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3"/>
      <c r="C254" s="6"/>
      <c r="D254" s="6"/>
      <c r="E254" s="6"/>
      <c r="F254" s="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3"/>
      <c r="C255" s="6"/>
      <c r="D255" s="6"/>
      <c r="E255" s="6"/>
      <c r="F255" s="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3"/>
      <c r="C256" s="6"/>
      <c r="D256" s="6"/>
      <c r="E256" s="6"/>
      <c r="F256" s="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3"/>
      <c r="C257" s="6"/>
      <c r="D257" s="6"/>
      <c r="E257" s="6"/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3"/>
      <c r="C258" s="6"/>
      <c r="D258" s="6"/>
      <c r="E258" s="6"/>
      <c r="F258" s="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3"/>
      <c r="C259" s="6"/>
      <c r="D259" s="6"/>
      <c r="E259" s="6"/>
      <c r="F259" s="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3"/>
      <c r="C260" s="6"/>
      <c r="D260" s="6"/>
      <c r="E260" s="6"/>
      <c r="F260" s="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3"/>
      <c r="C261" s="6"/>
      <c r="D261" s="6"/>
      <c r="E261" s="6"/>
      <c r="F261" s="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3"/>
      <c r="C262" s="6"/>
      <c r="D262" s="6"/>
      <c r="E262" s="6"/>
      <c r="F262" s="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3"/>
      <c r="C263" s="6"/>
      <c r="D263" s="6"/>
      <c r="E263" s="6"/>
      <c r="F263" s="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3"/>
      <c r="C264" s="6"/>
      <c r="D264" s="6"/>
      <c r="E264" s="6"/>
      <c r="F264" s="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3"/>
      <c r="C265" s="6"/>
      <c r="D265" s="6"/>
      <c r="E265" s="6"/>
      <c r="F265" s="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3"/>
      <c r="C266" s="6"/>
      <c r="D266" s="6"/>
      <c r="E266" s="6"/>
      <c r="F266" s="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3"/>
      <c r="C267" s="6"/>
      <c r="D267" s="6"/>
      <c r="E267" s="6"/>
      <c r="F267" s="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3"/>
      <c r="C268" s="6"/>
      <c r="D268" s="6"/>
      <c r="E268" s="6"/>
      <c r="F268" s="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3"/>
      <c r="C269" s="6"/>
      <c r="D269" s="6"/>
      <c r="E269" s="6"/>
      <c r="F269" s="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3"/>
      <c r="C270" s="6"/>
      <c r="D270" s="6"/>
      <c r="E270" s="6"/>
      <c r="F270" s="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3"/>
      <c r="C271" s="6"/>
      <c r="D271" s="6"/>
      <c r="E271" s="6"/>
      <c r="F271" s="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3"/>
      <c r="C272" s="6"/>
      <c r="D272" s="6"/>
      <c r="E272" s="6"/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3"/>
      <c r="C273" s="6"/>
      <c r="D273" s="6"/>
      <c r="E273" s="6"/>
      <c r="F273" s="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3"/>
      <c r="C274" s="6"/>
      <c r="D274" s="6"/>
      <c r="E274" s="6"/>
      <c r="F274" s="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3"/>
      <c r="C275" s="6"/>
      <c r="D275" s="6"/>
      <c r="E275" s="6"/>
      <c r="F275" s="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3"/>
      <c r="C276" s="6"/>
      <c r="D276" s="6"/>
      <c r="E276" s="6"/>
      <c r="F276" s="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3"/>
      <c r="C277" s="6"/>
      <c r="D277" s="6"/>
      <c r="E277" s="6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3"/>
      <c r="C278" s="6"/>
      <c r="D278" s="6"/>
      <c r="E278" s="6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3"/>
      <c r="C279" s="6"/>
      <c r="D279" s="6"/>
      <c r="E279" s="6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3"/>
      <c r="C280" s="6"/>
      <c r="D280" s="6"/>
      <c r="E280" s="6"/>
      <c r="F280" s="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3"/>
      <c r="C281" s="6"/>
      <c r="D281" s="6"/>
      <c r="E281" s="6"/>
      <c r="F281" s="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3"/>
      <c r="C282" s="6"/>
      <c r="D282" s="6"/>
      <c r="E282" s="6"/>
      <c r="F282" s="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3"/>
      <c r="C283" s="6"/>
      <c r="D283" s="6"/>
      <c r="E283" s="6"/>
      <c r="F283" s="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3"/>
      <c r="C284" s="6"/>
      <c r="D284" s="6"/>
      <c r="E284" s="6"/>
      <c r="F284" s="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3"/>
      <c r="C285" s="6"/>
      <c r="D285" s="6"/>
      <c r="E285" s="6"/>
      <c r="F285" s="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3"/>
      <c r="C286" s="6"/>
      <c r="D286" s="6"/>
      <c r="E286" s="6"/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3"/>
      <c r="C287" s="6"/>
      <c r="D287" s="6"/>
      <c r="E287" s="6"/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3"/>
      <c r="C288" s="6"/>
      <c r="D288" s="6"/>
      <c r="E288" s="6"/>
      <c r="F288" s="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3"/>
      <c r="C289" s="6"/>
      <c r="D289" s="6"/>
      <c r="E289" s="6"/>
      <c r="F289" s="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3"/>
      <c r="C290" s="6"/>
      <c r="D290" s="6"/>
      <c r="E290" s="6"/>
      <c r="F290" s="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3"/>
      <c r="C291" s="6"/>
      <c r="D291" s="6"/>
      <c r="E291" s="6"/>
      <c r="F291" s="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3"/>
      <c r="C292" s="6"/>
      <c r="D292" s="6"/>
      <c r="E292" s="6"/>
      <c r="F292" s="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3"/>
      <c r="C293" s="6"/>
      <c r="D293" s="6"/>
      <c r="E293" s="6"/>
      <c r="F293" s="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3"/>
      <c r="C294" s="6"/>
      <c r="D294" s="6"/>
      <c r="E294" s="6"/>
      <c r="F294" s="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3"/>
      <c r="C295" s="6"/>
      <c r="D295" s="6"/>
      <c r="E295" s="6"/>
      <c r="F295" s="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3"/>
      <c r="C296" s="6"/>
      <c r="D296" s="6"/>
      <c r="E296" s="6"/>
      <c r="F296" s="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3"/>
      <c r="C297" s="6"/>
      <c r="D297" s="6"/>
      <c r="E297" s="6"/>
      <c r="F297" s="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3"/>
      <c r="C298" s="6"/>
      <c r="D298" s="6"/>
      <c r="E298" s="6"/>
      <c r="F298" s="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3"/>
      <c r="C299" s="6"/>
      <c r="D299" s="6"/>
      <c r="E299" s="6"/>
      <c r="F299" s="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3"/>
      <c r="C300" s="6"/>
      <c r="D300" s="6"/>
      <c r="E300" s="6"/>
      <c r="F300" s="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3"/>
      <c r="C301" s="6"/>
      <c r="D301" s="6"/>
      <c r="E301" s="6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3"/>
      <c r="C302" s="6"/>
      <c r="D302" s="6"/>
      <c r="E302" s="6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3"/>
      <c r="C303" s="6"/>
      <c r="D303" s="6"/>
      <c r="E303" s="6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3"/>
      <c r="C304" s="6"/>
      <c r="D304" s="6"/>
      <c r="E304" s="6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3"/>
      <c r="C305" s="6"/>
      <c r="D305" s="6"/>
      <c r="E305" s="6"/>
      <c r="F305" s="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3"/>
      <c r="C306" s="6"/>
      <c r="D306" s="6"/>
      <c r="E306" s="6"/>
      <c r="F306" s="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3"/>
      <c r="C307" s="6"/>
      <c r="D307" s="6"/>
      <c r="E307" s="6"/>
      <c r="F307" s="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3"/>
      <c r="C308" s="6"/>
      <c r="D308" s="6"/>
      <c r="E308" s="6"/>
      <c r="F308" s="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3"/>
      <c r="C309" s="6"/>
      <c r="D309" s="6"/>
      <c r="E309" s="6"/>
      <c r="F309" s="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3"/>
      <c r="C310" s="6"/>
      <c r="D310" s="6"/>
      <c r="E310" s="6"/>
      <c r="F310" s="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3"/>
      <c r="C311" s="6"/>
      <c r="D311" s="6"/>
      <c r="E311" s="6"/>
      <c r="F311" s="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3"/>
      <c r="C312" s="6"/>
      <c r="D312" s="6"/>
      <c r="E312" s="6"/>
      <c r="F312" s="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3"/>
      <c r="C313" s="6"/>
      <c r="D313" s="6"/>
      <c r="E313" s="6"/>
      <c r="F313" s="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3"/>
      <c r="C314" s="6"/>
      <c r="D314" s="6"/>
      <c r="E314" s="6"/>
      <c r="F314" s="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3"/>
      <c r="C315" s="6"/>
      <c r="D315" s="6"/>
      <c r="E315" s="6"/>
      <c r="F315" s="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3"/>
      <c r="C316" s="6"/>
      <c r="D316" s="6"/>
      <c r="E316" s="6"/>
      <c r="F316" s="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3"/>
      <c r="C317" s="6"/>
      <c r="D317" s="6"/>
      <c r="E317" s="6"/>
      <c r="F317" s="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3"/>
      <c r="C318" s="6"/>
      <c r="D318" s="6"/>
      <c r="E318" s="6"/>
      <c r="F318" s="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3"/>
      <c r="C319" s="6"/>
      <c r="D319" s="6"/>
      <c r="E319" s="6"/>
      <c r="F319" s="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3"/>
      <c r="C320" s="6"/>
      <c r="D320" s="6"/>
      <c r="E320" s="6"/>
      <c r="F320" s="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3"/>
      <c r="C321" s="6"/>
      <c r="D321" s="6"/>
      <c r="E321" s="6"/>
      <c r="F321" s="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3"/>
      <c r="C322" s="6"/>
      <c r="D322" s="6"/>
      <c r="E322" s="6"/>
      <c r="F322" s="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3"/>
      <c r="C323" s="6"/>
      <c r="D323" s="6"/>
      <c r="E323" s="6"/>
      <c r="F323" s="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3"/>
      <c r="C324" s="6"/>
      <c r="D324" s="6"/>
      <c r="E324" s="6"/>
      <c r="F324" s="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3"/>
      <c r="C325" s="6"/>
      <c r="D325" s="6"/>
      <c r="E325" s="6"/>
      <c r="F325" s="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3"/>
      <c r="C326" s="6"/>
      <c r="D326" s="6"/>
      <c r="E326" s="6"/>
      <c r="F326" s="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3"/>
      <c r="C327" s="6"/>
      <c r="D327" s="6"/>
      <c r="E327" s="6"/>
      <c r="F327" s="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3"/>
      <c r="C328" s="6"/>
      <c r="D328" s="6"/>
      <c r="E328" s="6"/>
      <c r="F328" s="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3"/>
      <c r="C329" s="6"/>
      <c r="D329" s="6"/>
      <c r="E329" s="6"/>
      <c r="F329" s="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3"/>
      <c r="C330" s="6"/>
      <c r="D330" s="6"/>
      <c r="E330" s="6"/>
      <c r="F330" s="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3"/>
      <c r="C331" s="6"/>
      <c r="D331" s="6"/>
      <c r="E331" s="6"/>
      <c r="F331" s="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3"/>
      <c r="C332" s="6"/>
      <c r="D332" s="6"/>
      <c r="E332" s="6"/>
      <c r="F332" s="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3"/>
      <c r="C333" s="6"/>
      <c r="D333" s="6"/>
      <c r="E333" s="6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3"/>
      <c r="C334" s="6"/>
      <c r="D334" s="6"/>
      <c r="E334" s="6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3"/>
      <c r="C335" s="6"/>
      <c r="D335" s="6"/>
      <c r="E335" s="6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3"/>
      <c r="C336" s="6"/>
      <c r="D336" s="6"/>
      <c r="E336" s="6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3"/>
      <c r="C337" s="6"/>
      <c r="D337" s="6"/>
      <c r="E337" s="6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3"/>
      <c r="C338" s="6"/>
      <c r="D338" s="6"/>
      <c r="E338" s="6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3"/>
      <c r="C339" s="6"/>
      <c r="D339" s="6"/>
      <c r="E339" s="6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3"/>
      <c r="C340" s="6"/>
      <c r="D340" s="6"/>
      <c r="E340" s="6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3"/>
      <c r="C341" s="6"/>
      <c r="D341" s="6"/>
      <c r="E341" s="6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3"/>
      <c r="C342" s="6"/>
      <c r="D342" s="6"/>
      <c r="E342" s="6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3"/>
      <c r="C343" s="6"/>
      <c r="D343" s="6"/>
      <c r="E343" s="6"/>
      <c r="F343" s="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3"/>
      <c r="C344" s="6"/>
      <c r="D344" s="6"/>
      <c r="E344" s="6"/>
      <c r="F344" s="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3"/>
      <c r="C345" s="6"/>
      <c r="D345" s="6"/>
      <c r="E345" s="6"/>
      <c r="F345" s="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3"/>
      <c r="C346" s="6"/>
      <c r="D346" s="6"/>
      <c r="E346" s="6"/>
      <c r="F346" s="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3"/>
      <c r="C347" s="6"/>
      <c r="D347" s="6"/>
      <c r="E347" s="6"/>
      <c r="F347" s="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3"/>
      <c r="C348" s="6"/>
      <c r="D348" s="6"/>
      <c r="E348" s="6"/>
      <c r="F348" s="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3"/>
      <c r="C349" s="6"/>
      <c r="D349" s="6"/>
      <c r="E349" s="6"/>
      <c r="F349" s="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3"/>
      <c r="C350" s="6"/>
      <c r="D350" s="6"/>
      <c r="E350" s="6"/>
      <c r="F350" s="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3"/>
      <c r="C351" s="6"/>
      <c r="D351" s="6"/>
      <c r="E351" s="6"/>
      <c r="F351" s="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3"/>
      <c r="C352" s="6"/>
      <c r="D352" s="6"/>
      <c r="E352" s="6"/>
      <c r="F352" s="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3"/>
      <c r="C353" s="6"/>
      <c r="D353" s="6"/>
      <c r="E353" s="6"/>
      <c r="F353" s="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3"/>
      <c r="C354" s="6"/>
      <c r="D354" s="6"/>
      <c r="E354" s="6"/>
      <c r="F354" s="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3"/>
      <c r="C355" s="6"/>
      <c r="D355" s="6"/>
      <c r="E355" s="6"/>
      <c r="F355" s="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3"/>
      <c r="C356" s="6"/>
      <c r="D356" s="6"/>
      <c r="E356" s="6"/>
      <c r="F356" s="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3"/>
      <c r="C357" s="6"/>
      <c r="D357" s="6"/>
      <c r="E357" s="6"/>
      <c r="F357" s="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3"/>
      <c r="C358" s="6"/>
      <c r="D358" s="6"/>
      <c r="E358" s="6"/>
      <c r="F358" s="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3"/>
      <c r="C359" s="6"/>
      <c r="D359" s="6"/>
      <c r="E359" s="6"/>
      <c r="F359" s="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3"/>
      <c r="C360" s="6"/>
      <c r="D360" s="6"/>
      <c r="E360" s="6"/>
      <c r="F360" s="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3"/>
      <c r="C361" s="6"/>
      <c r="D361" s="6"/>
      <c r="E361" s="6"/>
      <c r="F361" s="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3"/>
      <c r="C362" s="6"/>
      <c r="D362" s="6"/>
      <c r="E362" s="6"/>
      <c r="F362" s="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3"/>
      <c r="C363" s="6"/>
      <c r="D363" s="6"/>
      <c r="E363" s="6"/>
      <c r="F363" s="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3"/>
      <c r="C364" s="6"/>
      <c r="D364" s="6"/>
      <c r="E364" s="6"/>
      <c r="F364" s="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3"/>
      <c r="C365" s="6"/>
      <c r="D365" s="6"/>
      <c r="E365" s="6"/>
      <c r="F365" s="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3"/>
      <c r="C366" s="6"/>
      <c r="D366" s="6"/>
      <c r="E366" s="6"/>
      <c r="F366" s="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3"/>
      <c r="C367" s="6"/>
      <c r="D367" s="6"/>
      <c r="E367" s="6"/>
      <c r="F367" s="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3"/>
      <c r="C368" s="6"/>
      <c r="D368" s="6"/>
      <c r="E368" s="6"/>
      <c r="F368" s="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3"/>
      <c r="C369" s="6"/>
      <c r="D369" s="6"/>
      <c r="E369" s="6"/>
      <c r="F369" s="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3"/>
      <c r="C370" s="6"/>
      <c r="D370" s="6"/>
      <c r="E370" s="6"/>
      <c r="F370" s="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3"/>
      <c r="C371" s="6"/>
      <c r="D371" s="6"/>
      <c r="E371" s="6"/>
      <c r="F371" s="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3"/>
      <c r="C372" s="6"/>
      <c r="D372" s="6"/>
      <c r="E372" s="6"/>
      <c r="F372" s="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3"/>
      <c r="C373" s="6"/>
      <c r="D373" s="6"/>
      <c r="E373" s="6"/>
      <c r="F373" s="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3"/>
      <c r="C374" s="6"/>
      <c r="D374" s="6"/>
      <c r="E374" s="6"/>
      <c r="F374" s="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3"/>
      <c r="C375" s="6"/>
      <c r="D375" s="6"/>
      <c r="E375" s="6"/>
      <c r="F375" s="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3"/>
      <c r="C376" s="6"/>
      <c r="D376" s="6"/>
      <c r="E376" s="6"/>
      <c r="F376" s="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3"/>
      <c r="C377" s="6"/>
      <c r="D377" s="6"/>
      <c r="E377" s="6"/>
      <c r="F377" s="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3"/>
      <c r="C378" s="6"/>
      <c r="D378" s="6"/>
      <c r="E378" s="6"/>
      <c r="F378" s="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3"/>
      <c r="C379" s="6"/>
      <c r="D379" s="6"/>
      <c r="E379" s="6"/>
      <c r="F379" s="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3"/>
      <c r="C380" s="6"/>
      <c r="D380" s="6"/>
      <c r="E380" s="6"/>
      <c r="F380" s="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3"/>
      <c r="C381" s="6"/>
      <c r="D381" s="6"/>
      <c r="E381" s="6"/>
      <c r="F381" s="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3"/>
      <c r="C382" s="6"/>
      <c r="D382" s="6"/>
      <c r="E382" s="6"/>
      <c r="F382" s="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3"/>
      <c r="C383" s="6"/>
      <c r="D383" s="6"/>
      <c r="E383" s="6"/>
      <c r="F383" s="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3"/>
      <c r="C384" s="6"/>
      <c r="D384" s="6"/>
      <c r="E384" s="6"/>
      <c r="F384" s="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3"/>
      <c r="C385" s="6"/>
      <c r="D385" s="6"/>
      <c r="E385" s="6"/>
      <c r="F385" s="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3"/>
      <c r="C386" s="6"/>
      <c r="D386" s="6"/>
      <c r="E386" s="6"/>
      <c r="F386" s="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3"/>
      <c r="C387" s="6"/>
      <c r="D387" s="6"/>
      <c r="E387" s="6"/>
      <c r="F387" s="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3"/>
      <c r="C388" s="6"/>
      <c r="D388" s="6"/>
      <c r="E388" s="6"/>
      <c r="F388" s="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3"/>
      <c r="C389" s="6"/>
      <c r="D389" s="6"/>
      <c r="E389" s="6"/>
      <c r="F389" s="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3"/>
      <c r="C390" s="6"/>
      <c r="D390" s="6"/>
      <c r="E390" s="6"/>
      <c r="F390" s="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3"/>
      <c r="C391" s="6"/>
      <c r="D391" s="6"/>
      <c r="E391" s="6"/>
      <c r="F391" s="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3"/>
      <c r="C392" s="6"/>
      <c r="D392" s="6"/>
      <c r="E392" s="6"/>
      <c r="F392" s="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3"/>
      <c r="C393" s="6"/>
      <c r="D393" s="6"/>
      <c r="E393" s="6"/>
      <c r="F393" s="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3"/>
      <c r="C394" s="6"/>
      <c r="D394" s="6"/>
      <c r="E394" s="6"/>
      <c r="F394" s="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3"/>
      <c r="C395" s="6"/>
      <c r="D395" s="6"/>
      <c r="E395" s="6"/>
      <c r="F395" s="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3"/>
      <c r="C396" s="6"/>
      <c r="D396" s="6"/>
      <c r="E396" s="6"/>
      <c r="F396" s="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3"/>
      <c r="C397" s="6"/>
      <c r="D397" s="6"/>
      <c r="E397" s="6"/>
      <c r="F397" s="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3"/>
      <c r="C398" s="6"/>
      <c r="D398" s="6"/>
      <c r="E398" s="6"/>
      <c r="F398" s="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3"/>
      <c r="C399" s="6"/>
      <c r="D399" s="6"/>
      <c r="E399" s="6"/>
      <c r="F399" s="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3"/>
      <c r="C400" s="6"/>
      <c r="D400" s="6"/>
      <c r="E400" s="6"/>
      <c r="F400" s="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3"/>
      <c r="C401" s="6"/>
      <c r="D401" s="6"/>
      <c r="E401" s="6"/>
      <c r="F401" s="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3"/>
      <c r="C402" s="6"/>
      <c r="D402" s="6"/>
      <c r="E402" s="6"/>
      <c r="F402" s="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3"/>
      <c r="C403" s="6"/>
      <c r="D403" s="6"/>
      <c r="E403" s="6"/>
      <c r="F403" s="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3"/>
      <c r="C404" s="6"/>
      <c r="D404" s="6"/>
      <c r="E404" s="6"/>
      <c r="F404" s="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3"/>
      <c r="C405" s="6"/>
      <c r="D405" s="6"/>
      <c r="E405" s="6"/>
      <c r="F405" s="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3"/>
      <c r="C406" s="6"/>
      <c r="D406" s="6"/>
      <c r="E406" s="6"/>
      <c r="F406" s="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3"/>
      <c r="C407" s="6"/>
      <c r="D407" s="6"/>
      <c r="E407" s="6"/>
      <c r="F407" s="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3"/>
      <c r="C408" s="6"/>
      <c r="D408" s="6"/>
      <c r="E408" s="6"/>
      <c r="F408" s="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3"/>
      <c r="C409" s="6"/>
      <c r="D409" s="6"/>
      <c r="E409" s="6"/>
      <c r="F409" s="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3"/>
      <c r="C410" s="6"/>
      <c r="D410" s="6"/>
      <c r="E410" s="6"/>
      <c r="F410" s="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3"/>
      <c r="C411" s="6"/>
      <c r="D411" s="6"/>
      <c r="E411" s="6"/>
      <c r="F411" s="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3"/>
      <c r="C412" s="6"/>
      <c r="D412" s="6"/>
      <c r="E412" s="6"/>
      <c r="F412" s="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3"/>
      <c r="C413" s="6"/>
      <c r="D413" s="6"/>
      <c r="E413" s="6"/>
      <c r="F413" s="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3"/>
      <c r="C414" s="6"/>
      <c r="D414" s="6"/>
      <c r="E414" s="6"/>
      <c r="F414" s="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3"/>
      <c r="C415" s="6"/>
      <c r="D415" s="6"/>
      <c r="E415" s="6"/>
      <c r="F415" s="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3"/>
      <c r="C416" s="6"/>
      <c r="D416" s="6"/>
      <c r="E416" s="6"/>
      <c r="F416" s="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3"/>
      <c r="C417" s="6"/>
      <c r="D417" s="6"/>
      <c r="E417" s="6"/>
      <c r="F417" s="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3"/>
      <c r="C418" s="6"/>
      <c r="D418" s="6"/>
      <c r="E418" s="6"/>
      <c r="F418" s="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3"/>
      <c r="C419" s="6"/>
      <c r="D419" s="6"/>
      <c r="E419" s="6"/>
      <c r="F419" s="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3"/>
      <c r="C420" s="6"/>
      <c r="D420" s="6"/>
      <c r="E420" s="6"/>
      <c r="F420" s="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3"/>
      <c r="C421" s="6"/>
      <c r="D421" s="6"/>
      <c r="E421" s="6"/>
      <c r="F421" s="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3"/>
      <c r="C422" s="6"/>
      <c r="D422" s="6"/>
      <c r="E422" s="6"/>
      <c r="F422" s="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3"/>
      <c r="C423" s="6"/>
      <c r="D423" s="6"/>
      <c r="E423" s="6"/>
      <c r="F423" s="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3"/>
      <c r="C424" s="6"/>
      <c r="D424" s="6"/>
      <c r="E424" s="6"/>
      <c r="F424" s="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3"/>
      <c r="C425" s="6"/>
      <c r="D425" s="6"/>
      <c r="E425" s="6"/>
      <c r="F425" s="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3"/>
      <c r="C426" s="6"/>
      <c r="D426" s="6"/>
      <c r="E426" s="6"/>
      <c r="F426" s="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3"/>
      <c r="C427" s="6"/>
      <c r="D427" s="6"/>
      <c r="E427" s="6"/>
      <c r="F427" s="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3"/>
      <c r="C428" s="6"/>
      <c r="D428" s="6"/>
      <c r="E428" s="6"/>
      <c r="F428" s="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3"/>
      <c r="C429" s="6"/>
      <c r="D429" s="6"/>
      <c r="E429" s="6"/>
      <c r="F429" s="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3"/>
      <c r="C430" s="6"/>
      <c r="D430" s="6"/>
      <c r="E430" s="6"/>
      <c r="F430" s="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3"/>
      <c r="C431" s="6"/>
      <c r="D431" s="6"/>
      <c r="E431" s="6"/>
      <c r="F431" s="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3"/>
      <c r="C432" s="6"/>
      <c r="D432" s="6"/>
      <c r="E432" s="6"/>
      <c r="F432" s="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3"/>
      <c r="C433" s="6"/>
      <c r="D433" s="6"/>
      <c r="E433" s="6"/>
      <c r="F433" s="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3"/>
      <c r="C434" s="6"/>
      <c r="D434" s="6"/>
      <c r="E434" s="6"/>
      <c r="F434" s="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3"/>
      <c r="C435" s="6"/>
      <c r="D435" s="6"/>
      <c r="E435" s="6"/>
      <c r="F435" s="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3"/>
      <c r="C436" s="6"/>
      <c r="D436" s="6"/>
      <c r="E436" s="6"/>
      <c r="F436" s="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3"/>
      <c r="C437" s="6"/>
      <c r="D437" s="6"/>
      <c r="E437" s="6"/>
      <c r="F437" s="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3"/>
      <c r="C438" s="6"/>
      <c r="D438" s="6"/>
      <c r="E438" s="6"/>
      <c r="F438" s="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3"/>
      <c r="C439" s="6"/>
      <c r="D439" s="6"/>
      <c r="E439" s="6"/>
      <c r="F439" s="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3"/>
      <c r="C440" s="6"/>
      <c r="D440" s="6"/>
      <c r="E440" s="6"/>
      <c r="F440" s="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3"/>
      <c r="C441" s="6"/>
      <c r="D441" s="6"/>
      <c r="E441" s="6"/>
      <c r="F441" s="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3"/>
      <c r="C442" s="6"/>
      <c r="D442" s="6"/>
      <c r="E442" s="6"/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3"/>
      <c r="C443" s="6"/>
      <c r="D443" s="6"/>
      <c r="E443" s="6"/>
      <c r="F443" s="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3"/>
      <c r="C444" s="6"/>
      <c r="D444" s="6"/>
      <c r="E444" s="6"/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3"/>
      <c r="C445" s="6"/>
      <c r="D445" s="6"/>
      <c r="E445" s="6"/>
      <c r="F445" s="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3"/>
      <c r="C446" s="6"/>
      <c r="D446" s="6"/>
      <c r="E446" s="6"/>
      <c r="F446" s="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3"/>
      <c r="C447" s="6"/>
      <c r="D447" s="6"/>
      <c r="E447" s="6"/>
      <c r="F447" s="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3"/>
      <c r="C448" s="6"/>
      <c r="D448" s="6"/>
      <c r="E448" s="6"/>
      <c r="F448" s="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3"/>
      <c r="C449" s="6"/>
      <c r="D449" s="6"/>
      <c r="E449" s="6"/>
      <c r="F449" s="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3"/>
      <c r="C450" s="6"/>
      <c r="D450" s="6"/>
      <c r="E450" s="6"/>
      <c r="F450" s="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3"/>
      <c r="C451" s="6"/>
      <c r="D451" s="6"/>
      <c r="E451" s="6"/>
      <c r="F451" s="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3"/>
      <c r="C452" s="6"/>
      <c r="D452" s="6"/>
      <c r="E452" s="6"/>
      <c r="F452" s="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3"/>
      <c r="C453" s="6"/>
      <c r="D453" s="6"/>
      <c r="E453" s="6"/>
      <c r="F453" s="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3"/>
      <c r="C454" s="6"/>
      <c r="D454" s="6"/>
      <c r="E454" s="6"/>
      <c r="F454" s="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3"/>
      <c r="C455" s="6"/>
      <c r="D455" s="6"/>
      <c r="E455" s="6"/>
      <c r="F455" s="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3"/>
      <c r="C456" s="6"/>
      <c r="D456" s="6"/>
      <c r="E456" s="6"/>
      <c r="F456" s="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3"/>
      <c r="C457" s="6"/>
      <c r="D457" s="6"/>
      <c r="E457" s="6"/>
      <c r="F457" s="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3"/>
      <c r="C458" s="6"/>
      <c r="D458" s="6"/>
      <c r="E458" s="6"/>
      <c r="F458" s="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3"/>
      <c r="C459" s="6"/>
      <c r="D459" s="6"/>
      <c r="E459" s="6"/>
      <c r="F459" s="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3"/>
      <c r="C460" s="6"/>
      <c r="D460" s="6"/>
      <c r="E460" s="6"/>
      <c r="F460" s="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3"/>
      <c r="C461" s="6"/>
      <c r="D461" s="6"/>
      <c r="E461" s="6"/>
      <c r="F461" s="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3"/>
      <c r="C462" s="6"/>
      <c r="D462" s="6"/>
      <c r="E462" s="6"/>
      <c r="F462" s="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3"/>
      <c r="C463" s="6"/>
      <c r="D463" s="6"/>
      <c r="E463" s="6"/>
      <c r="F463" s="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3"/>
      <c r="C464" s="6"/>
      <c r="D464" s="6"/>
      <c r="E464" s="6"/>
      <c r="F464" s="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3"/>
      <c r="C465" s="6"/>
      <c r="D465" s="6"/>
      <c r="E465" s="6"/>
      <c r="F465" s="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3"/>
      <c r="C466" s="6"/>
      <c r="D466" s="6"/>
      <c r="E466" s="6"/>
      <c r="F466" s="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3"/>
      <c r="C467" s="6"/>
      <c r="D467" s="6"/>
      <c r="E467" s="6"/>
      <c r="F467" s="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3"/>
      <c r="C468" s="6"/>
      <c r="D468" s="6"/>
      <c r="E468" s="6"/>
      <c r="F468" s="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3"/>
      <c r="C469" s="6"/>
      <c r="D469" s="6"/>
      <c r="E469" s="6"/>
      <c r="F469" s="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3"/>
      <c r="C470" s="6"/>
      <c r="D470" s="6"/>
      <c r="E470" s="6"/>
      <c r="F470" s="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3"/>
      <c r="C471" s="6"/>
      <c r="D471" s="6"/>
      <c r="E471" s="6"/>
      <c r="F471" s="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3"/>
      <c r="C472" s="6"/>
      <c r="D472" s="6"/>
      <c r="E472" s="6"/>
      <c r="F472" s="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3"/>
      <c r="C473" s="6"/>
      <c r="D473" s="6"/>
      <c r="E473" s="6"/>
      <c r="F473" s="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3"/>
      <c r="C474" s="6"/>
      <c r="D474" s="6"/>
      <c r="E474" s="6"/>
      <c r="F474" s="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3"/>
      <c r="C475" s="6"/>
      <c r="D475" s="6"/>
      <c r="E475" s="6"/>
      <c r="F475" s="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3"/>
      <c r="C476" s="6"/>
      <c r="D476" s="6"/>
      <c r="E476" s="6"/>
      <c r="F476" s="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3"/>
      <c r="C477" s="6"/>
      <c r="D477" s="6"/>
      <c r="E477" s="6"/>
      <c r="F477" s="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3"/>
      <c r="C478" s="6"/>
      <c r="D478" s="6"/>
      <c r="E478" s="6"/>
      <c r="F478" s="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3"/>
      <c r="C479" s="6"/>
      <c r="D479" s="6"/>
      <c r="E479" s="6"/>
      <c r="F479" s="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3"/>
      <c r="C480" s="6"/>
      <c r="D480" s="6"/>
      <c r="E480" s="6"/>
      <c r="F480" s="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3"/>
      <c r="C481" s="6"/>
      <c r="D481" s="6"/>
      <c r="E481" s="6"/>
      <c r="F481" s="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3"/>
      <c r="C482" s="6"/>
      <c r="D482" s="6"/>
      <c r="E482" s="6"/>
      <c r="F482" s="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3"/>
      <c r="C483" s="6"/>
      <c r="D483" s="6"/>
      <c r="E483" s="6"/>
      <c r="F483" s="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3"/>
      <c r="C484" s="6"/>
      <c r="D484" s="6"/>
      <c r="E484" s="6"/>
      <c r="F484" s="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3"/>
      <c r="C485" s="6"/>
      <c r="D485" s="6"/>
      <c r="E485" s="6"/>
      <c r="F485" s="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3"/>
      <c r="C486" s="6"/>
      <c r="D486" s="6"/>
      <c r="E486" s="6"/>
      <c r="F486" s="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3"/>
      <c r="C487" s="6"/>
      <c r="D487" s="6"/>
      <c r="E487" s="6"/>
      <c r="F487" s="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3"/>
      <c r="C488" s="6"/>
      <c r="D488" s="6"/>
      <c r="E488" s="6"/>
      <c r="F488" s="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3"/>
      <c r="C489" s="6"/>
      <c r="D489" s="6"/>
      <c r="E489" s="6"/>
      <c r="F489" s="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3"/>
      <c r="C490" s="6"/>
      <c r="D490" s="6"/>
      <c r="E490" s="6"/>
      <c r="F490" s="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3"/>
      <c r="C491" s="6"/>
      <c r="D491" s="6"/>
      <c r="E491" s="6"/>
      <c r="F491" s="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3"/>
      <c r="C492" s="6"/>
      <c r="D492" s="6"/>
      <c r="E492" s="6"/>
      <c r="F492" s="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3"/>
      <c r="C493" s="6"/>
      <c r="D493" s="6"/>
      <c r="E493" s="6"/>
      <c r="F493" s="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3"/>
      <c r="C494" s="6"/>
      <c r="D494" s="6"/>
      <c r="E494" s="6"/>
      <c r="F494" s="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3"/>
      <c r="C495" s="6"/>
      <c r="D495" s="6"/>
      <c r="E495" s="6"/>
      <c r="F495" s="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3"/>
      <c r="C496" s="6"/>
      <c r="D496" s="6"/>
      <c r="E496" s="6"/>
      <c r="F496" s="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3"/>
      <c r="C497" s="6"/>
      <c r="D497" s="6"/>
      <c r="E497" s="6"/>
      <c r="F497" s="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3"/>
      <c r="C498" s="6"/>
      <c r="D498" s="6"/>
      <c r="E498" s="6"/>
      <c r="F498" s="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3"/>
      <c r="C499" s="6"/>
      <c r="D499" s="6"/>
      <c r="E499" s="6"/>
      <c r="F499" s="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3"/>
      <c r="C500" s="6"/>
      <c r="D500" s="6"/>
      <c r="E500" s="6"/>
      <c r="F500" s="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3"/>
      <c r="C501" s="6"/>
      <c r="D501" s="6"/>
      <c r="E501" s="6"/>
      <c r="F501" s="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3"/>
      <c r="C502" s="6"/>
      <c r="D502" s="6"/>
      <c r="E502" s="6"/>
      <c r="F502" s="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3"/>
      <c r="C503" s="6"/>
      <c r="D503" s="6"/>
      <c r="E503" s="6"/>
      <c r="F503" s="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3"/>
      <c r="C504" s="6"/>
      <c r="D504" s="6"/>
      <c r="E504" s="6"/>
      <c r="F504" s="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3"/>
      <c r="C505" s="6"/>
      <c r="D505" s="6"/>
      <c r="E505" s="6"/>
      <c r="F505" s="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3"/>
      <c r="C506" s="6"/>
      <c r="D506" s="6"/>
      <c r="E506" s="6"/>
      <c r="F506" s="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3"/>
      <c r="C507" s="6"/>
      <c r="D507" s="6"/>
      <c r="E507" s="6"/>
      <c r="F507" s="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3"/>
      <c r="C508" s="6"/>
      <c r="D508" s="6"/>
      <c r="E508" s="6"/>
      <c r="F508" s="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3"/>
      <c r="C509" s="6"/>
      <c r="D509" s="6"/>
      <c r="E509" s="6"/>
      <c r="F509" s="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3"/>
      <c r="C510" s="6"/>
      <c r="D510" s="6"/>
      <c r="E510" s="6"/>
      <c r="F510" s="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3"/>
      <c r="C511" s="6"/>
      <c r="D511" s="6"/>
      <c r="E511" s="6"/>
      <c r="F511" s="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3"/>
      <c r="C512" s="6"/>
      <c r="D512" s="6"/>
      <c r="E512" s="6"/>
      <c r="F512" s="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3"/>
      <c r="C513" s="6"/>
      <c r="D513" s="6"/>
      <c r="E513" s="6"/>
      <c r="F513" s="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3"/>
      <c r="C514" s="6"/>
      <c r="D514" s="6"/>
      <c r="E514" s="6"/>
      <c r="F514" s="6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3"/>
      <c r="C515" s="6"/>
      <c r="D515" s="6"/>
      <c r="E515" s="6"/>
      <c r="F515" s="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3"/>
      <c r="C516" s="6"/>
      <c r="D516" s="6"/>
      <c r="E516" s="6"/>
      <c r="F516" s="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3"/>
      <c r="C517" s="6"/>
      <c r="D517" s="6"/>
      <c r="E517" s="6"/>
      <c r="F517" s="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3"/>
      <c r="C518" s="6"/>
      <c r="D518" s="6"/>
      <c r="E518" s="6"/>
      <c r="F518" s="6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3"/>
      <c r="C519" s="6"/>
      <c r="D519" s="6"/>
      <c r="E519" s="6"/>
      <c r="F519" s="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3"/>
      <c r="C520" s="6"/>
      <c r="D520" s="6"/>
      <c r="E520" s="6"/>
      <c r="F520" s="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3"/>
      <c r="C521" s="6"/>
      <c r="D521" s="6"/>
      <c r="E521" s="6"/>
      <c r="F521" s="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3"/>
      <c r="C522" s="6"/>
      <c r="D522" s="6"/>
      <c r="E522" s="6"/>
      <c r="F522" s="6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3"/>
      <c r="C523" s="6"/>
      <c r="D523" s="6"/>
      <c r="E523" s="6"/>
      <c r="F523" s="6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3"/>
      <c r="C524" s="6"/>
      <c r="D524" s="6"/>
      <c r="E524" s="6"/>
      <c r="F524" s="6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3"/>
      <c r="C525" s="6"/>
      <c r="D525" s="6"/>
      <c r="E525" s="6"/>
      <c r="F525" s="6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3"/>
      <c r="C526" s="6"/>
      <c r="D526" s="6"/>
      <c r="E526" s="6"/>
      <c r="F526" s="6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3"/>
      <c r="C527" s="6"/>
      <c r="D527" s="6"/>
      <c r="E527" s="6"/>
      <c r="F527" s="6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3"/>
      <c r="C528" s="6"/>
      <c r="D528" s="6"/>
      <c r="E528" s="6"/>
      <c r="F528" s="6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3"/>
      <c r="C529" s="6"/>
      <c r="D529" s="6"/>
      <c r="E529" s="6"/>
      <c r="F529" s="6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3"/>
      <c r="C530" s="6"/>
      <c r="D530" s="6"/>
      <c r="E530" s="6"/>
      <c r="F530" s="6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3"/>
      <c r="C531" s="6"/>
      <c r="D531" s="6"/>
      <c r="E531" s="6"/>
      <c r="F531" s="6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3"/>
      <c r="C532" s="6"/>
      <c r="D532" s="6"/>
      <c r="E532" s="6"/>
      <c r="F532" s="6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3"/>
      <c r="C533" s="6"/>
      <c r="D533" s="6"/>
      <c r="E533" s="6"/>
      <c r="F533" s="6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3"/>
      <c r="C534" s="6"/>
      <c r="D534" s="6"/>
      <c r="E534" s="6"/>
      <c r="F534" s="6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3"/>
      <c r="C535" s="6"/>
      <c r="D535" s="6"/>
      <c r="E535" s="6"/>
      <c r="F535" s="6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3"/>
      <c r="C536" s="6"/>
      <c r="D536" s="6"/>
      <c r="E536" s="6"/>
      <c r="F536" s="6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3"/>
      <c r="C537" s="6"/>
      <c r="D537" s="6"/>
      <c r="E537" s="6"/>
      <c r="F537" s="6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3"/>
      <c r="C538" s="6"/>
      <c r="D538" s="6"/>
      <c r="E538" s="6"/>
      <c r="F538" s="6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3"/>
      <c r="C539" s="6"/>
      <c r="D539" s="6"/>
      <c r="E539" s="6"/>
      <c r="F539" s="6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3"/>
      <c r="C540" s="6"/>
      <c r="D540" s="6"/>
      <c r="E540" s="6"/>
      <c r="F540" s="6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3"/>
      <c r="C541" s="6"/>
      <c r="D541" s="6"/>
      <c r="E541" s="6"/>
      <c r="F541" s="6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3"/>
      <c r="C542" s="6"/>
      <c r="D542" s="6"/>
      <c r="E542" s="6"/>
      <c r="F542" s="6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3"/>
      <c r="C543" s="6"/>
      <c r="D543" s="6"/>
      <c r="E543" s="6"/>
      <c r="F543" s="6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3"/>
      <c r="C544" s="6"/>
      <c r="D544" s="6"/>
      <c r="E544" s="6"/>
      <c r="F544" s="6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3"/>
      <c r="C545" s="6"/>
      <c r="D545" s="6"/>
      <c r="E545" s="6"/>
      <c r="F545" s="6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3"/>
      <c r="C546" s="6"/>
      <c r="D546" s="6"/>
      <c r="E546" s="6"/>
      <c r="F546" s="6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3"/>
      <c r="C547" s="6"/>
      <c r="D547" s="6"/>
      <c r="E547" s="6"/>
      <c r="F547" s="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3"/>
      <c r="C548" s="6"/>
      <c r="D548" s="6"/>
      <c r="E548" s="6"/>
      <c r="F548" s="6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3"/>
      <c r="C549" s="6"/>
      <c r="D549" s="6"/>
      <c r="E549" s="6"/>
      <c r="F549" s="6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3"/>
      <c r="C550" s="6"/>
      <c r="D550" s="6"/>
      <c r="E550" s="6"/>
      <c r="F550" s="6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3"/>
      <c r="C551" s="6"/>
      <c r="D551" s="6"/>
      <c r="E551" s="6"/>
      <c r="F551" s="6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3"/>
      <c r="C552" s="6"/>
      <c r="D552" s="6"/>
      <c r="E552" s="6"/>
      <c r="F552" s="6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3"/>
      <c r="C553" s="6"/>
      <c r="D553" s="6"/>
      <c r="E553" s="6"/>
      <c r="F553" s="6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3"/>
      <c r="C554" s="6"/>
      <c r="D554" s="6"/>
      <c r="E554" s="6"/>
      <c r="F554" s="6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3"/>
      <c r="C555" s="6"/>
      <c r="D555" s="6"/>
      <c r="E555" s="6"/>
      <c r="F555" s="6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3"/>
      <c r="C556" s="6"/>
      <c r="D556" s="6"/>
      <c r="E556" s="6"/>
      <c r="F556" s="6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3"/>
      <c r="C557" s="6"/>
      <c r="D557" s="6"/>
      <c r="E557" s="6"/>
      <c r="F557" s="6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3"/>
      <c r="C558" s="6"/>
      <c r="D558" s="6"/>
      <c r="E558" s="6"/>
      <c r="F558" s="6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3"/>
      <c r="C559" s="6"/>
      <c r="D559" s="6"/>
      <c r="E559" s="6"/>
      <c r="F559" s="6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3"/>
      <c r="C560" s="6"/>
      <c r="D560" s="6"/>
      <c r="E560" s="6"/>
      <c r="F560" s="6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3"/>
      <c r="C561" s="6"/>
      <c r="D561" s="6"/>
      <c r="E561" s="6"/>
      <c r="F561" s="6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3"/>
      <c r="C562" s="6"/>
      <c r="D562" s="6"/>
      <c r="E562" s="6"/>
      <c r="F562" s="6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3"/>
      <c r="C563" s="6"/>
      <c r="D563" s="6"/>
      <c r="E563" s="6"/>
      <c r="F563" s="6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3"/>
      <c r="C564" s="6"/>
      <c r="D564" s="6"/>
      <c r="E564" s="6"/>
      <c r="F564" s="6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3"/>
      <c r="C565" s="6"/>
      <c r="D565" s="6"/>
      <c r="E565" s="6"/>
      <c r="F565" s="6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3"/>
      <c r="C566" s="6"/>
      <c r="D566" s="6"/>
      <c r="E566" s="6"/>
      <c r="F566" s="6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3"/>
      <c r="C567" s="6"/>
      <c r="D567" s="6"/>
      <c r="E567" s="6"/>
      <c r="F567" s="6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3"/>
      <c r="C568" s="6"/>
      <c r="D568" s="6"/>
      <c r="E568" s="6"/>
      <c r="F568" s="6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3"/>
      <c r="C569" s="6"/>
      <c r="D569" s="6"/>
      <c r="E569" s="6"/>
      <c r="F569" s="6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3"/>
      <c r="C570" s="6"/>
      <c r="D570" s="6"/>
      <c r="E570" s="6"/>
      <c r="F570" s="6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3"/>
      <c r="C571" s="6"/>
      <c r="D571" s="6"/>
      <c r="E571" s="6"/>
      <c r="F571" s="6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3"/>
      <c r="C572" s="6"/>
      <c r="D572" s="6"/>
      <c r="E572" s="6"/>
      <c r="F572" s="6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3"/>
      <c r="C573" s="6"/>
      <c r="D573" s="6"/>
      <c r="E573" s="6"/>
      <c r="F573" s="6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3"/>
      <c r="C574" s="6"/>
      <c r="D574" s="6"/>
      <c r="E574" s="6"/>
      <c r="F574" s="6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3"/>
      <c r="C575" s="6"/>
      <c r="D575" s="6"/>
      <c r="E575" s="6"/>
      <c r="F575" s="6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3"/>
      <c r="C576" s="6"/>
      <c r="D576" s="6"/>
      <c r="E576" s="6"/>
      <c r="F576" s="6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3"/>
      <c r="C577" s="6"/>
      <c r="D577" s="6"/>
      <c r="E577" s="6"/>
      <c r="F577" s="6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3"/>
      <c r="C578" s="6"/>
      <c r="D578" s="6"/>
      <c r="E578" s="6"/>
      <c r="F578" s="6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3"/>
      <c r="C579" s="6"/>
      <c r="D579" s="6"/>
      <c r="E579" s="6"/>
      <c r="F579" s="6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3"/>
      <c r="C580" s="6"/>
      <c r="D580" s="6"/>
      <c r="E580" s="6"/>
      <c r="F580" s="6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3"/>
      <c r="C581" s="6"/>
      <c r="D581" s="6"/>
      <c r="E581" s="6"/>
      <c r="F581" s="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3"/>
      <c r="C582" s="6"/>
      <c r="D582" s="6"/>
      <c r="E582" s="6"/>
      <c r="F582" s="6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3"/>
      <c r="C583" s="6"/>
      <c r="D583" s="6"/>
      <c r="E583" s="6"/>
      <c r="F583" s="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3"/>
      <c r="C584" s="6"/>
      <c r="D584" s="6"/>
      <c r="E584" s="6"/>
      <c r="F584" s="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3"/>
      <c r="C585" s="6"/>
      <c r="D585" s="6"/>
      <c r="E585" s="6"/>
      <c r="F585" s="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3"/>
      <c r="C586" s="6"/>
      <c r="D586" s="6"/>
      <c r="E586" s="6"/>
      <c r="F586" s="6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3"/>
      <c r="C587" s="6"/>
      <c r="D587" s="6"/>
      <c r="E587" s="6"/>
      <c r="F587" s="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3"/>
      <c r="C588" s="6"/>
      <c r="D588" s="6"/>
      <c r="E588" s="6"/>
      <c r="F588" s="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3"/>
      <c r="C589" s="6"/>
      <c r="D589" s="6"/>
      <c r="E589" s="6"/>
      <c r="F589" s="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3"/>
      <c r="C590" s="6"/>
      <c r="D590" s="6"/>
      <c r="E590" s="6"/>
      <c r="F590" s="6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3"/>
      <c r="C591" s="6"/>
      <c r="D591" s="6"/>
      <c r="E591" s="6"/>
      <c r="F591" s="6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3"/>
      <c r="C592" s="6"/>
      <c r="D592" s="6"/>
      <c r="E592" s="6"/>
      <c r="F592" s="6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3"/>
      <c r="C593" s="6"/>
      <c r="D593" s="6"/>
      <c r="E593" s="6"/>
      <c r="F593" s="6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3"/>
      <c r="C594" s="6"/>
      <c r="D594" s="6"/>
      <c r="E594" s="6"/>
      <c r="F594" s="6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3"/>
      <c r="C595" s="6"/>
      <c r="D595" s="6"/>
      <c r="E595" s="6"/>
      <c r="F595" s="6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3"/>
      <c r="C596" s="6"/>
      <c r="D596" s="6"/>
      <c r="E596" s="6"/>
      <c r="F596" s="6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3"/>
      <c r="C597" s="6"/>
      <c r="D597" s="6"/>
      <c r="E597" s="6"/>
      <c r="F597" s="6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3"/>
      <c r="C598" s="6"/>
      <c r="D598" s="6"/>
      <c r="E598" s="6"/>
      <c r="F598" s="6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3"/>
      <c r="C599" s="6"/>
      <c r="D599" s="6"/>
      <c r="E599" s="6"/>
      <c r="F599" s="6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3"/>
      <c r="C600" s="6"/>
      <c r="D600" s="6"/>
      <c r="E600" s="6"/>
      <c r="F600" s="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3"/>
      <c r="C601" s="6"/>
      <c r="D601" s="6"/>
      <c r="E601" s="6"/>
      <c r="F601" s="6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3"/>
      <c r="C602" s="6"/>
      <c r="D602" s="6"/>
      <c r="E602" s="6"/>
      <c r="F602" s="6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3"/>
      <c r="C603" s="6"/>
      <c r="D603" s="6"/>
      <c r="E603" s="6"/>
      <c r="F603" s="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3"/>
      <c r="C604" s="6"/>
      <c r="D604" s="6"/>
      <c r="E604" s="6"/>
      <c r="F604" s="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3"/>
      <c r="C605" s="6"/>
      <c r="D605" s="6"/>
      <c r="E605" s="6"/>
      <c r="F605" s="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3"/>
      <c r="C606" s="6"/>
      <c r="D606" s="6"/>
      <c r="E606" s="6"/>
      <c r="F606" s="6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3"/>
      <c r="C607" s="6"/>
      <c r="D607" s="6"/>
      <c r="E607" s="6"/>
      <c r="F607" s="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3"/>
      <c r="C608" s="6"/>
      <c r="D608" s="6"/>
      <c r="E608" s="6"/>
      <c r="F608" s="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3"/>
      <c r="C609" s="6"/>
      <c r="D609" s="6"/>
      <c r="E609" s="6"/>
      <c r="F609" s="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3"/>
      <c r="C610" s="6"/>
      <c r="D610" s="6"/>
      <c r="E610" s="6"/>
      <c r="F610" s="6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3"/>
      <c r="C611" s="6"/>
      <c r="D611" s="6"/>
      <c r="E611" s="6"/>
      <c r="F611" s="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3"/>
      <c r="C612" s="6"/>
      <c r="D612" s="6"/>
      <c r="E612" s="6"/>
      <c r="F612" s="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3"/>
      <c r="C613" s="6"/>
      <c r="D613" s="6"/>
      <c r="E613" s="6"/>
      <c r="F613" s="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3"/>
      <c r="C614" s="6"/>
      <c r="D614" s="6"/>
      <c r="E614" s="6"/>
      <c r="F614" s="6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3"/>
      <c r="C615" s="6"/>
      <c r="D615" s="6"/>
      <c r="E615" s="6"/>
      <c r="F615" s="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3"/>
      <c r="C616" s="6"/>
      <c r="D616" s="6"/>
      <c r="E616" s="6"/>
      <c r="F616" s="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3"/>
      <c r="C617" s="6"/>
      <c r="D617" s="6"/>
      <c r="E617" s="6"/>
      <c r="F617" s="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3"/>
      <c r="C618" s="6"/>
      <c r="D618" s="6"/>
      <c r="E618" s="6"/>
      <c r="F618" s="6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3"/>
      <c r="C619" s="6"/>
      <c r="D619" s="6"/>
      <c r="E619" s="6"/>
      <c r="F619" s="6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3"/>
      <c r="C620" s="6"/>
      <c r="D620" s="6"/>
      <c r="E620" s="6"/>
      <c r="F620" s="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3"/>
      <c r="C621" s="6"/>
      <c r="D621" s="6"/>
      <c r="E621" s="6"/>
      <c r="F621" s="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3"/>
      <c r="C622" s="6"/>
      <c r="D622" s="6"/>
      <c r="E622" s="6"/>
      <c r="F622" s="6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3"/>
      <c r="C623" s="6"/>
      <c r="D623" s="6"/>
      <c r="E623" s="6"/>
      <c r="F623" s="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3"/>
      <c r="C624" s="6"/>
      <c r="D624" s="6"/>
      <c r="E624" s="6"/>
      <c r="F624" s="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3"/>
      <c r="C625" s="6"/>
      <c r="D625" s="6"/>
      <c r="E625" s="6"/>
      <c r="F625" s="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3"/>
      <c r="C626" s="6"/>
      <c r="D626" s="6"/>
      <c r="E626" s="6"/>
      <c r="F626" s="6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3"/>
      <c r="C627" s="6"/>
      <c r="D627" s="6"/>
      <c r="E627" s="6"/>
      <c r="F627" s="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3"/>
      <c r="C628" s="6"/>
      <c r="D628" s="6"/>
      <c r="E628" s="6"/>
      <c r="F628" s="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3"/>
      <c r="C629" s="6"/>
      <c r="D629" s="6"/>
      <c r="E629" s="6"/>
      <c r="F629" s="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3"/>
      <c r="C630" s="6"/>
      <c r="D630" s="6"/>
      <c r="E630" s="6"/>
      <c r="F630" s="6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3"/>
      <c r="C631" s="6"/>
      <c r="D631" s="6"/>
      <c r="E631" s="6"/>
      <c r="F631" s="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3"/>
      <c r="C632" s="6"/>
      <c r="D632" s="6"/>
      <c r="E632" s="6"/>
      <c r="F632" s="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3"/>
      <c r="C633" s="6"/>
      <c r="D633" s="6"/>
      <c r="E633" s="6"/>
      <c r="F633" s="6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3"/>
      <c r="C634" s="6"/>
      <c r="D634" s="6"/>
      <c r="E634" s="6"/>
      <c r="F634" s="6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3"/>
      <c r="C635" s="6"/>
      <c r="D635" s="6"/>
      <c r="E635" s="6"/>
      <c r="F635" s="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3"/>
      <c r="C636" s="6"/>
      <c r="D636" s="6"/>
      <c r="E636" s="6"/>
      <c r="F636" s="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3"/>
      <c r="C637" s="6"/>
      <c r="D637" s="6"/>
      <c r="E637" s="6"/>
      <c r="F637" s="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3"/>
      <c r="C638" s="6"/>
      <c r="D638" s="6"/>
      <c r="E638" s="6"/>
      <c r="F638" s="6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3"/>
      <c r="C639" s="6"/>
      <c r="D639" s="6"/>
      <c r="E639" s="6"/>
      <c r="F639" s="6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3"/>
      <c r="C640" s="6"/>
      <c r="D640" s="6"/>
      <c r="E640" s="6"/>
      <c r="F640" s="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3"/>
      <c r="C641" s="6"/>
      <c r="D641" s="6"/>
      <c r="E641" s="6"/>
      <c r="F641" s="6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3"/>
      <c r="C642" s="6"/>
      <c r="D642" s="6"/>
      <c r="E642" s="6"/>
      <c r="F642" s="6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3"/>
      <c r="C643" s="6"/>
      <c r="D643" s="6"/>
      <c r="E643" s="6"/>
      <c r="F643" s="6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3"/>
      <c r="C644" s="6"/>
      <c r="D644" s="6"/>
      <c r="E644" s="6"/>
      <c r="F644" s="6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3"/>
      <c r="C645" s="6"/>
      <c r="D645" s="6"/>
      <c r="E645" s="6"/>
      <c r="F645" s="6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3"/>
      <c r="C646" s="6"/>
      <c r="D646" s="6"/>
      <c r="E646" s="6"/>
      <c r="F646" s="6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3"/>
      <c r="C647" s="6"/>
      <c r="D647" s="6"/>
      <c r="E647" s="6"/>
      <c r="F647" s="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3"/>
      <c r="C648" s="6"/>
      <c r="D648" s="6"/>
      <c r="E648" s="6"/>
      <c r="F648" s="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3"/>
      <c r="C649" s="6"/>
      <c r="D649" s="6"/>
      <c r="E649" s="6"/>
      <c r="F649" s="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3"/>
      <c r="C650" s="6"/>
      <c r="D650" s="6"/>
      <c r="E650" s="6"/>
      <c r="F650" s="6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3"/>
      <c r="C651" s="6"/>
      <c r="D651" s="6"/>
      <c r="E651" s="6"/>
      <c r="F651" s="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3"/>
      <c r="C652" s="6"/>
      <c r="D652" s="6"/>
      <c r="E652" s="6"/>
      <c r="F652" s="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3"/>
      <c r="C653" s="6"/>
      <c r="D653" s="6"/>
      <c r="E653" s="6"/>
      <c r="F653" s="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3"/>
      <c r="C654" s="6"/>
      <c r="D654" s="6"/>
      <c r="E654" s="6"/>
      <c r="F654" s="6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3"/>
      <c r="C655" s="6"/>
      <c r="D655" s="6"/>
      <c r="E655" s="6"/>
      <c r="F655" s="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3"/>
      <c r="C656" s="6"/>
      <c r="D656" s="6"/>
      <c r="E656" s="6"/>
      <c r="F656" s="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3"/>
      <c r="C657" s="6"/>
      <c r="D657" s="6"/>
      <c r="E657" s="6"/>
      <c r="F657" s="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3"/>
      <c r="C658" s="6"/>
      <c r="D658" s="6"/>
      <c r="E658" s="6"/>
      <c r="F658" s="6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3"/>
      <c r="C659" s="6"/>
      <c r="D659" s="6"/>
      <c r="E659" s="6"/>
      <c r="F659" s="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3"/>
      <c r="C660" s="6"/>
      <c r="D660" s="6"/>
      <c r="E660" s="6"/>
      <c r="F660" s="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3"/>
      <c r="C661" s="6"/>
      <c r="D661" s="6"/>
      <c r="E661" s="6"/>
      <c r="F661" s="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3"/>
      <c r="C662" s="6"/>
      <c r="D662" s="6"/>
      <c r="E662" s="6"/>
      <c r="F662" s="6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3"/>
      <c r="C663" s="6"/>
      <c r="D663" s="6"/>
      <c r="E663" s="6"/>
      <c r="F663" s="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3"/>
      <c r="C664" s="6"/>
      <c r="D664" s="6"/>
      <c r="E664" s="6"/>
      <c r="F664" s="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3"/>
      <c r="C665" s="6"/>
      <c r="D665" s="6"/>
      <c r="E665" s="6"/>
      <c r="F665" s="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3"/>
      <c r="C666" s="6"/>
      <c r="D666" s="6"/>
      <c r="E666" s="6"/>
      <c r="F666" s="6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3"/>
      <c r="C667" s="6"/>
      <c r="D667" s="6"/>
      <c r="E667" s="6"/>
      <c r="F667" s="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3"/>
      <c r="C668" s="6"/>
      <c r="D668" s="6"/>
      <c r="E668" s="6"/>
      <c r="F668" s="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3"/>
      <c r="C669" s="6"/>
      <c r="D669" s="6"/>
      <c r="E669" s="6"/>
      <c r="F669" s="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3"/>
      <c r="C670" s="6"/>
      <c r="D670" s="6"/>
      <c r="E670" s="6"/>
      <c r="F670" s="6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3"/>
      <c r="C671" s="6"/>
      <c r="D671" s="6"/>
      <c r="E671" s="6"/>
      <c r="F671" s="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3"/>
      <c r="C672" s="6"/>
      <c r="D672" s="6"/>
      <c r="E672" s="6"/>
      <c r="F672" s="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3"/>
      <c r="C673" s="6"/>
      <c r="D673" s="6"/>
      <c r="E673" s="6"/>
      <c r="F673" s="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3"/>
      <c r="C674" s="6"/>
      <c r="D674" s="6"/>
      <c r="E674" s="6"/>
      <c r="F674" s="6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3"/>
      <c r="C675" s="6"/>
      <c r="D675" s="6"/>
      <c r="E675" s="6"/>
      <c r="F675" s="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3"/>
      <c r="C676" s="6"/>
      <c r="D676" s="6"/>
      <c r="E676" s="6"/>
      <c r="F676" s="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3"/>
      <c r="C677" s="6"/>
      <c r="D677" s="6"/>
      <c r="E677" s="6"/>
      <c r="F677" s="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3"/>
      <c r="C678" s="6"/>
      <c r="D678" s="6"/>
      <c r="E678" s="6"/>
      <c r="F678" s="6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3"/>
      <c r="C679" s="6"/>
      <c r="D679" s="6"/>
      <c r="E679" s="6"/>
      <c r="F679" s="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3"/>
      <c r="C680" s="6"/>
      <c r="D680" s="6"/>
      <c r="E680" s="6"/>
      <c r="F680" s="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3"/>
      <c r="C681" s="6"/>
      <c r="D681" s="6"/>
      <c r="E681" s="6"/>
      <c r="F681" s="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3"/>
      <c r="C682" s="6"/>
      <c r="D682" s="6"/>
      <c r="E682" s="6"/>
      <c r="F682" s="6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3"/>
      <c r="C683" s="6"/>
      <c r="D683" s="6"/>
      <c r="E683" s="6"/>
      <c r="F683" s="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3"/>
      <c r="C684" s="6"/>
      <c r="D684" s="6"/>
      <c r="E684" s="6"/>
      <c r="F684" s="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3"/>
      <c r="C685" s="6"/>
      <c r="D685" s="6"/>
      <c r="E685" s="6"/>
      <c r="F685" s="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3"/>
      <c r="C686" s="6"/>
      <c r="D686" s="6"/>
      <c r="E686" s="6"/>
      <c r="F686" s="6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3"/>
      <c r="C687" s="6"/>
      <c r="D687" s="6"/>
      <c r="E687" s="6"/>
      <c r="F687" s="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3"/>
      <c r="C688" s="6"/>
      <c r="D688" s="6"/>
      <c r="E688" s="6"/>
      <c r="F688" s="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3"/>
      <c r="C689" s="6"/>
      <c r="D689" s="6"/>
      <c r="E689" s="6"/>
      <c r="F689" s="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3"/>
      <c r="C690" s="6"/>
      <c r="D690" s="6"/>
      <c r="E690" s="6"/>
      <c r="F690" s="6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3"/>
      <c r="C691" s="6"/>
      <c r="D691" s="6"/>
      <c r="E691" s="6"/>
      <c r="F691" s="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3"/>
      <c r="C692" s="6"/>
      <c r="D692" s="6"/>
      <c r="E692" s="6"/>
      <c r="F692" s="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3"/>
      <c r="C693" s="6"/>
      <c r="D693" s="6"/>
      <c r="E693" s="6"/>
      <c r="F693" s="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3"/>
      <c r="C694" s="6"/>
      <c r="D694" s="6"/>
      <c r="E694" s="6"/>
      <c r="F694" s="6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3"/>
      <c r="C695" s="6"/>
      <c r="D695" s="6"/>
      <c r="E695" s="6"/>
      <c r="F695" s="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3"/>
      <c r="C696" s="6"/>
      <c r="D696" s="6"/>
      <c r="E696" s="6"/>
      <c r="F696" s="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3"/>
      <c r="C697" s="6"/>
      <c r="D697" s="6"/>
      <c r="E697" s="6"/>
      <c r="F697" s="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3"/>
      <c r="C698" s="6"/>
      <c r="D698" s="6"/>
      <c r="E698" s="6"/>
      <c r="F698" s="6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3"/>
      <c r="C699" s="6"/>
      <c r="D699" s="6"/>
      <c r="E699" s="6"/>
      <c r="F699" s="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3"/>
      <c r="C700" s="6"/>
      <c r="D700" s="6"/>
      <c r="E700" s="6"/>
      <c r="F700" s="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3"/>
      <c r="C701" s="6"/>
      <c r="D701" s="6"/>
      <c r="E701" s="6"/>
      <c r="F701" s="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3"/>
      <c r="C702" s="6"/>
      <c r="D702" s="6"/>
      <c r="E702" s="6"/>
      <c r="F702" s="6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3"/>
      <c r="C703" s="6"/>
      <c r="D703" s="6"/>
      <c r="E703" s="6"/>
      <c r="F703" s="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3"/>
      <c r="C704" s="6"/>
      <c r="D704" s="6"/>
      <c r="E704" s="6"/>
      <c r="F704" s="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3"/>
      <c r="C705" s="6"/>
      <c r="D705" s="6"/>
      <c r="E705" s="6"/>
      <c r="F705" s="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3"/>
      <c r="C706" s="6"/>
      <c r="D706" s="6"/>
      <c r="E706" s="6"/>
      <c r="F706" s="6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3"/>
      <c r="C707" s="6"/>
      <c r="D707" s="6"/>
      <c r="E707" s="6"/>
      <c r="F707" s="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3"/>
      <c r="C708" s="6"/>
      <c r="D708" s="6"/>
      <c r="E708" s="6"/>
      <c r="F708" s="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3"/>
      <c r="C709" s="6"/>
      <c r="D709" s="6"/>
      <c r="E709" s="6"/>
      <c r="F709" s="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3"/>
      <c r="C710" s="6"/>
      <c r="D710" s="6"/>
      <c r="E710" s="6"/>
      <c r="F710" s="6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3"/>
      <c r="C711" s="6"/>
      <c r="D711" s="6"/>
      <c r="E711" s="6"/>
      <c r="F711" s="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3"/>
      <c r="C712" s="6"/>
      <c r="D712" s="6"/>
      <c r="E712" s="6"/>
      <c r="F712" s="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3"/>
      <c r="C713" s="6"/>
      <c r="D713" s="6"/>
      <c r="E713" s="6"/>
      <c r="F713" s="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3"/>
      <c r="C714" s="6"/>
      <c r="D714" s="6"/>
      <c r="E714" s="6"/>
      <c r="F714" s="6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3"/>
      <c r="C715" s="6"/>
      <c r="D715" s="6"/>
      <c r="E715" s="6"/>
      <c r="F715" s="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3"/>
      <c r="C716" s="6"/>
      <c r="D716" s="6"/>
      <c r="E716" s="6"/>
      <c r="F716" s="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3"/>
      <c r="C717" s="6"/>
      <c r="D717" s="6"/>
      <c r="E717" s="6"/>
      <c r="F717" s="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3"/>
      <c r="C718" s="6"/>
      <c r="D718" s="6"/>
      <c r="E718" s="6"/>
      <c r="F718" s="6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3"/>
      <c r="C719" s="6"/>
      <c r="D719" s="6"/>
      <c r="E719" s="6"/>
      <c r="F719" s="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3"/>
      <c r="C720" s="6"/>
      <c r="D720" s="6"/>
      <c r="E720" s="6"/>
      <c r="F720" s="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3"/>
      <c r="C721" s="6"/>
      <c r="D721" s="6"/>
      <c r="E721" s="6"/>
      <c r="F721" s="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3"/>
      <c r="C722" s="6"/>
      <c r="D722" s="6"/>
      <c r="E722" s="6"/>
      <c r="F722" s="6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3"/>
      <c r="C723" s="6"/>
      <c r="D723" s="6"/>
      <c r="E723" s="6"/>
      <c r="F723" s="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3"/>
      <c r="C724" s="6"/>
      <c r="D724" s="6"/>
      <c r="E724" s="6"/>
      <c r="F724" s="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3"/>
      <c r="C725" s="6"/>
      <c r="D725" s="6"/>
      <c r="E725" s="6"/>
      <c r="F725" s="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3"/>
      <c r="C726" s="6"/>
      <c r="D726" s="6"/>
      <c r="E726" s="6"/>
      <c r="F726" s="6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3"/>
      <c r="C727" s="6"/>
      <c r="D727" s="6"/>
      <c r="E727" s="6"/>
      <c r="F727" s="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3"/>
      <c r="C728" s="6"/>
      <c r="D728" s="6"/>
      <c r="E728" s="6"/>
      <c r="F728" s="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3"/>
      <c r="C729" s="6"/>
      <c r="D729" s="6"/>
      <c r="E729" s="6"/>
      <c r="F729" s="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3"/>
      <c r="C730" s="6"/>
      <c r="D730" s="6"/>
      <c r="E730" s="6"/>
      <c r="F730" s="6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3"/>
      <c r="C731" s="6"/>
      <c r="D731" s="6"/>
      <c r="E731" s="6"/>
      <c r="F731" s="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3"/>
      <c r="C732" s="6"/>
      <c r="D732" s="6"/>
      <c r="E732" s="6"/>
      <c r="F732" s="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3"/>
      <c r="C733" s="6"/>
      <c r="D733" s="6"/>
      <c r="E733" s="6"/>
      <c r="F733" s="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3"/>
      <c r="C734" s="6"/>
      <c r="D734" s="6"/>
      <c r="E734" s="6"/>
      <c r="F734" s="6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3"/>
      <c r="C735" s="6"/>
      <c r="D735" s="6"/>
      <c r="E735" s="6"/>
      <c r="F735" s="6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3"/>
      <c r="C736" s="6"/>
      <c r="D736" s="6"/>
      <c r="E736" s="6"/>
      <c r="F736" s="6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3"/>
      <c r="C737" s="6"/>
      <c r="D737" s="6"/>
      <c r="E737" s="6"/>
      <c r="F737" s="6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3"/>
      <c r="C738" s="6"/>
      <c r="D738" s="6"/>
      <c r="E738" s="6"/>
      <c r="F738" s="6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3"/>
      <c r="C739" s="6"/>
      <c r="D739" s="6"/>
      <c r="E739" s="6"/>
      <c r="F739" s="6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3"/>
      <c r="C740" s="6"/>
      <c r="D740" s="6"/>
      <c r="E740" s="6"/>
      <c r="F740" s="6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3"/>
      <c r="C741" s="6"/>
      <c r="D741" s="6"/>
      <c r="E741" s="6"/>
      <c r="F741" s="6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3"/>
      <c r="C742" s="6"/>
      <c r="D742" s="6"/>
      <c r="E742" s="6"/>
      <c r="F742" s="6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3"/>
      <c r="C743" s="6"/>
      <c r="D743" s="6"/>
      <c r="E743" s="6"/>
      <c r="F743" s="6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3"/>
      <c r="C744" s="6"/>
      <c r="D744" s="6"/>
      <c r="E744" s="6"/>
      <c r="F744" s="6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3"/>
      <c r="C745" s="6"/>
      <c r="D745" s="6"/>
      <c r="E745" s="6"/>
      <c r="F745" s="6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3"/>
      <c r="C746" s="6"/>
      <c r="D746" s="6"/>
      <c r="E746" s="6"/>
      <c r="F746" s="6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3"/>
      <c r="C747" s="6"/>
      <c r="D747" s="6"/>
      <c r="E747" s="6"/>
      <c r="F747" s="6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3"/>
      <c r="C748" s="6"/>
      <c r="D748" s="6"/>
      <c r="E748" s="6"/>
      <c r="F748" s="6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3"/>
      <c r="C749" s="6"/>
      <c r="D749" s="6"/>
      <c r="E749" s="6"/>
      <c r="F749" s="6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3"/>
      <c r="C750" s="6"/>
      <c r="D750" s="6"/>
      <c r="E750" s="6"/>
      <c r="F750" s="6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3"/>
      <c r="C751" s="6"/>
      <c r="D751" s="6"/>
      <c r="E751" s="6"/>
      <c r="F751" s="6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3"/>
      <c r="C752" s="6"/>
      <c r="D752" s="6"/>
      <c r="E752" s="6"/>
      <c r="F752" s="6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3"/>
      <c r="C753" s="6"/>
      <c r="D753" s="6"/>
      <c r="E753" s="6"/>
      <c r="F753" s="6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3"/>
      <c r="C754" s="6"/>
      <c r="D754" s="6"/>
      <c r="E754" s="6"/>
      <c r="F754" s="6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3"/>
      <c r="C755" s="6"/>
      <c r="D755" s="6"/>
      <c r="E755" s="6"/>
      <c r="F755" s="6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3"/>
      <c r="C756" s="6"/>
      <c r="D756" s="6"/>
      <c r="E756" s="6"/>
      <c r="F756" s="6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3"/>
      <c r="C757" s="6"/>
      <c r="D757" s="6"/>
      <c r="E757" s="6"/>
      <c r="F757" s="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3"/>
      <c r="C758" s="6"/>
      <c r="D758" s="6"/>
      <c r="E758" s="6"/>
      <c r="F758" s="6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3"/>
      <c r="C759" s="6"/>
      <c r="D759" s="6"/>
      <c r="E759" s="6"/>
      <c r="F759" s="6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3"/>
      <c r="C760" s="6"/>
      <c r="D760" s="6"/>
      <c r="E760" s="6"/>
      <c r="F760" s="6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3"/>
      <c r="C761" s="6"/>
      <c r="D761" s="6"/>
      <c r="E761" s="6"/>
      <c r="F761" s="6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3"/>
      <c r="C762" s="6"/>
      <c r="D762" s="6"/>
      <c r="E762" s="6"/>
      <c r="F762" s="6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3"/>
      <c r="C763" s="6"/>
      <c r="D763" s="6"/>
      <c r="E763" s="6"/>
      <c r="F763" s="6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3"/>
      <c r="C764" s="6"/>
      <c r="D764" s="6"/>
      <c r="E764" s="6"/>
      <c r="F764" s="6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3"/>
      <c r="C765" s="6"/>
      <c r="D765" s="6"/>
      <c r="E765" s="6"/>
      <c r="F765" s="6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3"/>
      <c r="C766" s="6"/>
      <c r="D766" s="6"/>
      <c r="E766" s="6"/>
      <c r="F766" s="6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3"/>
      <c r="C767" s="6"/>
      <c r="D767" s="6"/>
      <c r="E767" s="6"/>
      <c r="F767" s="6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3"/>
      <c r="C768" s="6"/>
      <c r="D768" s="6"/>
      <c r="E768" s="6"/>
      <c r="F768" s="6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3"/>
      <c r="C769" s="6"/>
      <c r="D769" s="6"/>
      <c r="E769" s="6"/>
      <c r="F769" s="6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3"/>
      <c r="C770" s="6"/>
      <c r="D770" s="6"/>
      <c r="E770" s="6"/>
      <c r="F770" s="6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3"/>
      <c r="C771" s="6"/>
      <c r="D771" s="6"/>
      <c r="E771" s="6"/>
      <c r="F771" s="6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3"/>
      <c r="C772" s="6"/>
      <c r="D772" s="6"/>
      <c r="E772" s="6"/>
      <c r="F772" s="6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3"/>
      <c r="C773" s="6"/>
      <c r="D773" s="6"/>
      <c r="E773" s="6"/>
      <c r="F773" s="6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3"/>
      <c r="C774" s="6"/>
      <c r="D774" s="6"/>
      <c r="E774" s="6"/>
      <c r="F774" s="6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3"/>
      <c r="C775" s="6"/>
      <c r="D775" s="6"/>
      <c r="E775" s="6"/>
      <c r="F775" s="6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3"/>
      <c r="C776" s="6"/>
      <c r="D776" s="6"/>
      <c r="E776" s="6"/>
      <c r="F776" s="6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3"/>
      <c r="C777" s="6"/>
      <c r="D777" s="6"/>
      <c r="E777" s="6"/>
      <c r="F777" s="6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3"/>
      <c r="C778" s="6"/>
      <c r="D778" s="6"/>
      <c r="E778" s="6"/>
      <c r="F778" s="6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3"/>
      <c r="C779" s="6"/>
      <c r="D779" s="6"/>
      <c r="E779" s="6"/>
      <c r="F779" s="6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3"/>
      <c r="C780" s="6"/>
      <c r="D780" s="6"/>
      <c r="E780" s="6"/>
      <c r="F780" s="6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3"/>
      <c r="C781" s="6"/>
      <c r="D781" s="6"/>
      <c r="E781" s="6"/>
      <c r="F781" s="6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3"/>
      <c r="C782" s="6"/>
      <c r="D782" s="6"/>
      <c r="E782" s="6"/>
      <c r="F782" s="6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3"/>
      <c r="C783" s="6"/>
      <c r="D783" s="6"/>
      <c r="E783" s="6"/>
      <c r="F783" s="6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3"/>
      <c r="C784" s="6"/>
      <c r="D784" s="6"/>
      <c r="E784" s="6"/>
      <c r="F784" s="6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3"/>
      <c r="C785" s="6"/>
      <c r="D785" s="6"/>
      <c r="E785" s="6"/>
      <c r="F785" s="6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3"/>
      <c r="C786" s="6"/>
      <c r="D786" s="6"/>
      <c r="E786" s="6"/>
      <c r="F786" s="6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3"/>
      <c r="C787" s="6"/>
      <c r="D787" s="6"/>
      <c r="E787" s="6"/>
      <c r="F787" s="6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3"/>
      <c r="C788" s="6"/>
      <c r="D788" s="6"/>
      <c r="E788" s="6"/>
      <c r="F788" s="6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3"/>
      <c r="C789" s="6"/>
      <c r="D789" s="6"/>
      <c r="E789" s="6"/>
      <c r="F789" s="6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3"/>
      <c r="C790" s="6"/>
      <c r="D790" s="6"/>
      <c r="E790" s="6"/>
      <c r="F790" s="6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3"/>
      <c r="C791" s="6"/>
      <c r="D791" s="6"/>
      <c r="E791" s="6"/>
      <c r="F791" s="6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3"/>
      <c r="C792" s="6"/>
      <c r="D792" s="6"/>
      <c r="E792" s="6"/>
      <c r="F792" s="6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3"/>
      <c r="C793" s="6"/>
      <c r="D793" s="6"/>
      <c r="E793" s="6"/>
      <c r="F793" s="6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3"/>
      <c r="C794" s="6"/>
      <c r="D794" s="6"/>
      <c r="E794" s="6"/>
      <c r="F794" s="6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3"/>
      <c r="C795" s="6"/>
      <c r="D795" s="6"/>
      <c r="E795" s="6"/>
      <c r="F795" s="6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3"/>
      <c r="C796" s="6"/>
      <c r="D796" s="6"/>
      <c r="E796" s="6"/>
      <c r="F796" s="6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3"/>
      <c r="C797" s="6"/>
      <c r="D797" s="6"/>
      <c r="E797" s="6"/>
      <c r="F797" s="6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3"/>
      <c r="C798" s="6"/>
      <c r="D798" s="6"/>
      <c r="E798" s="6"/>
      <c r="F798" s="6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3"/>
      <c r="C799" s="6"/>
      <c r="D799" s="6"/>
      <c r="E799" s="6"/>
      <c r="F799" s="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3"/>
      <c r="C800" s="6"/>
      <c r="D800" s="6"/>
      <c r="E800" s="6"/>
      <c r="F800" s="6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3"/>
      <c r="C801" s="6"/>
      <c r="D801" s="6"/>
      <c r="E801" s="6"/>
      <c r="F801" s="6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3"/>
      <c r="C802" s="6"/>
      <c r="D802" s="6"/>
      <c r="E802" s="6"/>
      <c r="F802" s="6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3"/>
      <c r="C803" s="6"/>
      <c r="D803" s="6"/>
      <c r="E803" s="6"/>
      <c r="F803" s="6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3"/>
      <c r="C804" s="6"/>
      <c r="D804" s="6"/>
      <c r="E804" s="6"/>
      <c r="F804" s="6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3"/>
      <c r="C805" s="6"/>
      <c r="D805" s="6"/>
      <c r="E805" s="6"/>
      <c r="F805" s="6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3"/>
      <c r="C806" s="6"/>
      <c r="D806" s="6"/>
      <c r="E806" s="6"/>
      <c r="F806" s="6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3"/>
      <c r="C807" s="6"/>
      <c r="D807" s="6"/>
      <c r="E807" s="6"/>
      <c r="F807" s="6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3"/>
      <c r="C808" s="6"/>
      <c r="D808" s="6"/>
      <c r="E808" s="6"/>
      <c r="F808" s="6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3"/>
      <c r="C809" s="6"/>
      <c r="D809" s="6"/>
      <c r="E809" s="6"/>
      <c r="F809" s="6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3"/>
      <c r="C810" s="6"/>
      <c r="D810" s="6"/>
      <c r="E810" s="6"/>
      <c r="F810" s="6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3"/>
      <c r="C811" s="6"/>
      <c r="D811" s="6"/>
      <c r="E811" s="6"/>
      <c r="F811" s="6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3"/>
      <c r="C812" s="6"/>
      <c r="D812" s="6"/>
      <c r="E812" s="6"/>
      <c r="F812" s="6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3"/>
      <c r="C813" s="6"/>
      <c r="D813" s="6"/>
      <c r="E813" s="6"/>
      <c r="F813" s="6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3"/>
      <c r="C814" s="6"/>
      <c r="D814" s="6"/>
      <c r="E814" s="6"/>
      <c r="F814" s="6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3"/>
      <c r="C815" s="6"/>
      <c r="D815" s="6"/>
      <c r="E815" s="6"/>
      <c r="F815" s="6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3"/>
      <c r="C816" s="6"/>
      <c r="D816" s="6"/>
      <c r="E816" s="6"/>
      <c r="F816" s="6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3"/>
      <c r="C817" s="6"/>
      <c r="D817" s="6"/>
      <c r="E817" s="6"/>
      <c r="F817" s="6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3"/>
      <c r="C818" s="6"/>
      <c r="D818" s="6"/>
      <c r="E818" s="6"/>
      <c r="F818" s="6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3"/>
      <c r="C819" s="6"/>
      <c r="D819" s="6"/>
      <c r="E819" s="6"/>
      <c r="F819" s="6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3"/>
      <c r="C820" s="6"/>
      <c r="D820" s="6"/>
      <c r="E820" s="6"/>
      <c r="F820" s="6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3"/>
      <c r="C821" s="6"/>
      <c r="D821" s="6"/>
      <c r="E821" s="6"/>
      <c r="F821" s="6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3"/>
      <c r="C822" s="6"/>
      <c r="D822" s="6"/>
      <c r="E822" s="6"/>
      <c r="F822" s="6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3"/>
      <c r="C823" s="6"/>
      <c r="D823" s="6"/>
      <c r="E823" s="6"/>
      <c r="F823" s="6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3"/>
      <c r="C824" s="6"/>
      <c r="D824" s="6"/>
      <c r="E824" s="6"/>
      <c r="F824" s="6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3"/>
      <c r="C825" s="6"/>
      <c r="D825" s="6"/>
      <c r="E825" s="6"/>
      <c r="F825" s="6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3"/>
      <c r="C826" s="6"/>
      <c r="D826" s="6"/>
      <c r="E826" s="6"/>
      <c r="F826" s="6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3"/>
      <c r="C827" s="6"/>
      <c r="D827" s="6"/>
      <c r="E827" s="6"/>
      <c r="F827" s="6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3"/>
      <c r="C828" s="6"/>
      <c r="D828" s="6"/>
      <c r="E828" s="6"/>
      <c r="F828" s="6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3"/>
      <c r="C829" s="6"/>
      <c r="D829" s="6"/>
      <c r="E829" s="6"/>
      <c r="F829" s="6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3"/>
      <c r="C830" s="6"/>
      <c r="D830" s="6"/>
      <c r="E830" s="6"/>
      <c r="F830" s="6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3"/>
      <c r="C831" s="6"/>
      <c r="D831" s="6"/>
      <c r="E831" s="6"/>
      <c r="F831" s="6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3"/>
      <c r="C832" s="6"/>
      <c r="D832" s="6"/>
      <c r="E832" s="6"/>
      <c r="F832" s="6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3"/>
      <c r="C833" s="6"/>
      <c r="D833" s="6"/>
      <c r="E833" s="6"/>
      <c r="F833" s="6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3"/>
      <c r="C834" s="6"/>
      <c r="D834" s="6"/>
      <c r="E834" s="6"/>
      <c r="F834" s="6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3"/>
      <c r="C835" s="6"/>
      <c r="D835" s="6"/>
      <c r="E835" s="6"/>
      <c r="F835" s="6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3"/>
      <c r="C836" s="6"/>
      <c r="D836" s="6"/>
      <c r="E836" s="6"/>
      <c r="F836" s="6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3"/>
      <c r="C837" s="6"/>
      <c r="D837" s="6"/>
      <c r="E837" s="6"/>
      <c r="F837" s="6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3"/>
      <c r="C838" s="6"/>
      <c r="D838" s="6"/>
      <c r="E838" s="6"/>
      <c r="F838" s="6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3"/>
      <c r="C839" s="6"/>
      <c r="D839" s="6"/>
      <c r="E839" s="6"/>
      <c r="F839" s="6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3"/>
      <c r="C840" s="6"/>
      <c r="D840" s="6"/>
      <c r="E840" s="6"/>
      <c r="F840" s="6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3"/>
      <c r="C841" s="6"/>
      <c r="D841" s="6"/>
      <c r="E841" s="6"/>
      <c r="F841" s="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3"/>
      <c r="C842" s="6"/>
      <c r="D842" s="6"/>
      <c r="E842" s="6"/>
      <c r="F842" s="6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3"/>
      <c r="C843" s="6"/>
      <c r="D843" s="6"/>
      <c r="E843" s="6"/>
      <c r="F843" s="6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3"/>
      <c r="C844" s="6"/>
      <c r="D844" s="6"/>
      <c r="E844" s="6"/>
      <c r="F844" s="6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3"/>
      <c r="C845" s="6"/>
      <c r="D845" s="6"/>
      <c r="E845" s="6"/>
      <c r="F845" s="6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3"/>
      <c r="C846" s="6"/>
      <c r="D846" s="6"/>
      <c r="E846" s="6"/>
      <c r="F846" s="6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3"/>
      <c r="C847" s="6"/>
      <c r="D847" s="6"/>
      <c r="E847" s="6"/>
      <c r="F847" s="6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3"/>
      <c r="C848" s="6"/>
      <c r="D848" s="6"/>
      <c r="E848" s="6"/>
      <c r="F848" s="6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3"/>
      <c r="C849" s="6"/>
      <c r="D849" s="6"/>
      <c r="E849" s="6"/>
      <c r="F849" s="6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3"/>
      <c r="C850" s="6"/>
      <c r="D850" s="6"/>
      <c r="E850" s="6"/>
      <c r="F850" s="6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3"/>
      <c r="C851" s="6"/>
      <c r="D851" s="6"/>
      <c r="E851" s="6"/>
      <c r="F851" s="6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3"/>
      <c r="C852" s="6"/>
      <c r="D852" s="6"/>
      <c r="E852" s="6"/>
      <c r="F852" s="6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3"/>
      <c r="C853" s="6"/>
      <c r="D853" s="6"/>
      <c r="E853" s="6"/>
      <c r="F853" s="6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3"/>
      <c r="C854" s="6"/>
      <c r="D854" s="6"/>
      <c r="E854" s="6"/>
      <c r="F854" s="6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3"/>
      <c r="C855" s="6"/>
      <c r="D855" s="6"/>
      <c r="E855" s="6"/>
      <c r="F855" s="6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3"/>
      <c r="C856" s="6"/>
      <c r="D856" s="6"/>
      <c r="E856" s="6"/>
      <c r="F856" s="6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3"/>
      <c r="C857" s="6"/>
      <c r="D857" s="6"/>
      <c r="E857" s="6"/>
      <c r="F857" s="6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3"/>
      <c r="C858" s="6"/>
      <c r="D858" s="6"/>
      <c r="E858" s="6"/>
      <c r="F858" s="6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3"/>
      <c r="C859" s="6"/>
      <c r="D859" s="6"/>
      <c r="E859" s="6"/>
      <c r="F859" s="6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3"/>
      <c r="C860" s="6"/>
      <c r="D860" s="6"/>
      <c r="E860" s="6"/>
      <c r="F860" s="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3"/>
      <c r="C861" s="6"/>
      <c r="D861" s="6"/>
      <c r="E861" s="6"/>
      <c r="F861" s="6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3"/>
      <c r="C862" s="6"/>
      <c r="D862" s="6"/>
      <c r="E862" s="6"/>
      <c r="F862" s="6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3"/>
      <c r="C863" s="6"/>
      <c r="D863" s="6"/>
      <c r="E863" s="6"/>
      <c r="F863" s="6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3"/>
      <c r="C864" s="6"/>
      <c r="D864" s="6"/>
      <c r="E864" s="6"/>
      <c r="F864" s="6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3"/>
      <c r="C865" s="6"/>
      <c r="D865" s="6"/>
      <c r="E865" s="6"/>
      <c r="F865" s="6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3"/>
      <c r="C866" s="6"/>
      <c r="D866" s="6"/>
      <c r="E866" s="6"/>
      <c r="F866" s="6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3"/>
      <c r="C867" s="6"/>
      <c r="D867" s="6"/>
      <c r="E867" s="6"/>
      <c r="F867" s="6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3"/>
      <c r="C868" s="6"/>
      <c r="D868" s="6"/>
      <c r="E868" s="6"/>
      <c r="F868" s="6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3"/>
      <c r="C869" s="6"/>
      <c r="D869" s="6"/>
      <c r="E869" s="6"/>
      <c r="F869" s="6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3"/>
      <c r="C870" s="6"/>
      <c r="D870" s="6"/>
      <c r="E870" s="6"/>
      <c r="F870" s="6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3"/>
      <c r="C871" s="6"/>
      <c r="D871" s="6"/>
      <c r="E871" s="6"/>
      <c r="F871" s="6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3"/>
      <c r="C872" s="6"/>
      <c r="D872" s="6"/>
      <c r="E872" s="6"/>
      <c r="F872" s="6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3"/>
      <c r="C873" s="6"/>
      <c r="D873" s="6"/>
      <c r="E873" s="6"/>
      <c r="F873" s="6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3"/>
      <c r="C874" s="6"/>
      <c r="D874" s="6"/>
      <c r="E874" s="6"/>
      <c r="F874" s="6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3"/>
      <c r="C875" s="6"/>
      <c r="D875" s="6"/>
      <c r="E875" s="6"/>
      <c r="F875" s="6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3"/>
      <c r="C876" s="6"/>
      <c r="D876" s="6"/>
      <c r="E876" s="6"/>
      <c r="F876" s="6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3"/>
      <c r="C877" s="6"/>
      <c r="D877" s="6"/>
      <c r="E877" s="6"/>
      <c r="F877" s="6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3"/>
      <c r="C878" s="6"/>
      <c r="D878" s="6"/>
      <c r="E878" s="6"/>
      <c r="F878" s="6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3"/>
      <c r="C879" s="6"/>
      <c r="D879" s="6"/>
      <c r="E879" s="6"/>
      <c r="F879" s="6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3"/>
      <c r="C880" s="6"/>
      <c r="D880" s="6"/>
      <c r="E880" s="6"/>
      <c r="F880" s="6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3"/>
      <c r="C881" s="6"/>
      <c r="D881" s="6"/>
      <c r="E881" s="6"/>
      <c r="F881" s="6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3"/>
      <c r="C882" s="6"/>
      <c r="D882" s="6"/>
      <c r="E882" s="6"/>
      <c r="F882" s="6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3"/>
      <c r="C883" s="6"/>
      <c r="D883" s="6"/>
      <c r="E883" s="6"/>
      <c r="F883" s="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3"/>
      <c r="C884" s="6"/>
      <c r="D884" s="6"/>
      <c r="E884" s="6"/>
      <c r="F884" s="6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3"/>
      <c r="C885" s="6"/>
      <c r="D885" s="6"/>
      <c r="E885" s="6"/>
      <c r="F885" s="6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3"/>
      <c r="C886" s="6"/>
      <c r="D886" s="6"/>
      <c r="E886" s="6"/>
      <c r="F886" s="6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3"/>
      <c r="C887" s="6"/>
      <c r="D887" s="6"/>
      <c r="E887" s="6"/>
      <c r="F887" s="6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3"/>
      <c r="C888" s="6"/>
      <c r="D888" s="6"/>
      <c r="E888" s="6"/>
      <c r="F888" s="6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3"/>
      <c r="C889" s="6"/>
      <c r="D889" s="6"/>
      <c r="E889" s="6"/>
      <c r="F889" s="6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3"/>
      <c r="C890" s="6"/>
      <c r="D890" s="6"/>
      <c r="E890" s="6"/>
      <c r="F890" s="6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3"/>
      <c r="C891" s="6"/>
      <c r="D891" s="6"/>
      <c r="E891" s="6"/>
      <c r="F891" s="6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3"/>
      <c r="C892" s="6"/>
      <c r="D892" s="6"/>
      <c r="E892" s="6"/>
      <c r="F892" s="6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3"/>
      <c r="C893" s="6"/>
      <c r="D893" s="6"/>
      <c r="E893" s="6"/>
      <c r="F893" s="6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3"/>
      <c r="C894" s="6"/>
      <c r="D894" s="6"/>
      <c r="E894" s="6"/>
      <c r="F894" s="6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3"/>
      <c r="C895" s="6"/>
      <c r="D895" s="6"/>
      <c r="E895" s="6"/>
      <c r="F895" s="6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3"/>
      <c r="C896" s="6"/>
      <c r="D896" s="6"/>
      <c r="E896" s="6"/>
      <c r="F896" s="6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3"/>
      <c r="C897" s="6"/>
      <c r="D897" s="6"/>
      <c r="E897" s="6"/>
      <c r="F897" s="6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3"/>
      <c r="C898" s="6"/>
      <c r="D898" s="6"/>
      <c r="E898" s="6"/>
      <c r="F898" s="6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3"/>
      <c r="C899" s="6"/>
      <c r="D899" s="6"/>
      <c r="E899" s="6"/>
      <c r="F899" s="6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3"/>
      <c r="C900" s="6"/>
      <c r="D900" s="6"/>
      <c r="E900" s="6"/>
      <c r="F900" s="6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3"/>
      <c r="C901" s="6"/>
      <c r="D901" s="6"/>
      <c r="E901" s="6"/>
      <c r="F901" s="6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3"/>
      <c r="C902" s="6"/>
      <c r="D902" s="6"/>
      <c r="E902" s="6"/>
      <c r="F902" s="6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3"/>
      <c r="C903" s="6"/>
      <c r="D903" s="6"/>
      <c r="E903" s="6"/>
      <c r="F903" s="6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3"/>
      <c r="C904" s="6"/>
      <c r="D904" s="6"/>
      <c r="E904" s="6"/>
      <c r="F904" s="6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3"/>
      <c r="C905" s="6"/>
      <c r="D905" s="6"/>
      <c r="E905" s="6"/>
      <c r="F905" s="6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3"/>
      <c r="C906" s="6"/>
      <c r="D906" s="6"/>
      <c r="E906" s="6"/>
      <c r="F906" s="6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3"/>
      <c r="C907" s="6"/>
      <c r="D907" s="6"/>
      <c r="E907" s="6"/>
      <c r="F907" s="6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3"/>
      <c r="C908" s="6"/>
      <c r="D908" s="6"/>
      <c r="E908" s="6"/>
      <c r="F908" s="6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3"/>
      <c r="C909" s="6"/>
      <c r="D909" s="6"/>
      <c r="E909" s="6"/>
      <c r="F909" s="6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3"/>
      <c r="C910" s="6"/>
      <c r="D910" s="6"/>
      <c r="E910" s="6"/>
      <c r="F910" s="6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3"/>
      <c r="C911" s="6"/>
      <c r="D911" s="6"/>
      <c r="E911" s="6"/>
      <c r="F911" s="6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3"/>
      <c r="C912" s="6"/>
      <c r="D912" s="6"/>
      <c r="E912" s="6"/>
      <c r="F912" s="6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3"/>
      <c r="C913" s="6"/>
      <c r="D913" s="6"/>
      <c r="E913" s="6"/>
      <c r="F913" s="6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3"/>
      <c r="C914" s="6"/>
      <c r="D914" s="6"/>
      <c r="E914" s="6"/>
      <c r="F914" s="6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3"/>
      <c r="C915" s="6"/>
      <c r="D915" s="6"/>
      <c r="E915" s="6"/>
      <c r="F915" s="6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3"/>
      <c r="C916" s="6"/>
      <c r="D916" s="6"/>
      <c r="E916" s="6"/>
      <c r="F916" s="6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3"/>
      <c r="C917" s="6"/>
      <c r="D917" s="6"/>
      <c r="E917" s="6"/>
      <c r="F917" s="6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3"/>
      <c r="C918" s="6"/>
      <c r="D918" s="6"/>
      <c r="E918" s="6"/>
      <c r="F918" s="6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3"/>
      <c r="C919" s="6"/>
      <c r="D919" s="6"/>
      <c r="E919" s="6"/>
      <c r="F919" s="6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3"/>
      <c r="C920" s="6"/>
      <c r="D920" s="6"/>
      <c r="E920" s="6"/>
      <c r="F920" s="6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3"/>
      <c r="C921" s="6"/>
      <c r="D921" s="6"/>
      <c r="E921" s="6"/>
      <c r="F921" s="6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3"/>
      <c r="C922" s="6"/>
      <c r="D922" s="6"/>
      <c r="E922" s="6"/>
      <c r="F922" s="6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3"/>
      <c r="C923" s="6"/>
      <c r="D923" s="6"/>
      <c r="E923" s="6"/>
      <c r="F923" s="6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3"/>
      <c r="C924" s="6"/>
      <c r="D924" s="6"/>
      <c r="E924" s="6"/>
      <c r="F924" s="6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3"/>
      <c r="C925" s="6"/>
      <c r="D925" s="6"/>
      <c r="E925" s="6"/>
      <c r="F925" s="6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3"/>
      <c r="C926" s="6"/>
      <c r="D926" s="6"/>
      <c r="E926" s="6"/>
      <c r="F926" s="6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3"/>
      <c r="C927" s="6"/>
      <c r="D927" s="6"/>
      <c r="E927" s="6"/>
      <c r="F927" s="6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3"/>
      <c r="C928" s="6"/>
      <c r="D928" s="6"/>
      <c r="E928" s="6"/>
      <c r="F928" s="6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3"/>
      <c r="C929" s="6"/>
      <c r="D929" s="6"/>
      <c r="E929" s="6"/>
      <c r="F929" s="6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3"/>
      <c r="C930" s="6"/>
      <c r="D930" s="6"/>
      <c r="E930" s="6"/>
      <c r="F930" s="6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3"/>
      <c r="C931" s="6"/>
      <c r="D931" s="6"/>
      <c r="E931" s="6"/>
      <c r="F931" s="6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3"/>
      <c r="C932" s="6"/>
      <c r="D932" s="6"/>
      <c r="E932" s="6"/>
      <c r="F932" s="6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3"/>
      <c r="C933" s="6"/>
      <c r="D933" s="6"/>
      <c r="E933" s="6"/>
      <c r="F933" s="6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3"/>
      <c r="C934" s="6"/>
      <c r="D934" s="6"/>
      <c r="E934" s="6"/>
      <c r="F934" s="6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3"/>
      <c r="C935" s="6"/>
      <c r="D935" s="6"/>
      <c r="E935" s="6"/>
      <c r="F935" s="6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3"/>
      <c r="C936" s="6"/>
      <c r="D936" s="6"/>
      <c r="E936" s="6"/>
      <c r="F936" s="6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3"/>
      <c r="C937" s="6"/>
      <c r="D937" s="6"/>
      <c r="E937" s="6"/>
      <c r="F937" s="6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3"/>
      <c r="C938" s="6"/>
      <c r="D938" s="6"/>
      <c r="E938" s="6"/>
      <c r="F938" s="6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3"/>
      <c r="C939" s="6"/>
      <c r="D939" s="6"/>
      <c r="E939" s="6"/>
      <c r="F939" s="6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3"/>
      <c r="C940" s="6"/>
      <c r="D940" s="6"/>
      <c r="E940" s="6"/>
      <c r="F940" s="6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3"/>
      <c r="C941" s="6"/>
      <c r="D941" s="6"/>
      <c r="E941" s="6"/>
      <c r="F941" s="6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3"/>
      <c r="C942" s="6"/>
      <c r="D942" s="6"/>
      <c r="E942" s="6"/>
      <c r="F942" s="6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3"/>
      <c r="C943" s="6"/>
      <c r="D943" s="6"/>
      <c r="E943" s="6"/>
      <c r="F943" s="6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3"/>
      <c r="C944" s="6"/>
      <c r="D944" s="6"/>
      <c r="E944" s="6"/>
      <c r="F944" s="6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3"/>
      <c r="C945" s="6"/>
      <c r="D945" s="6"/>
      <c r="E945" s="6"/>
      <c r="F945" s="6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3"/>
      <c r="C946" s="6"/>
      <c r="D946" s="6"/>
      <c r="E946" s="6"/>
      <c r="F946" s="6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3"/>
      <c r="C947" s="6"/>
      <c r="D947" s="6"/>
      <c r="E947" s="6"/>
      <c r="F947" s="6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3"/>
      <c r="C948" s="6"/>
      <c r="D948" s="6"/>
      <c r="E948" s="6"/>
      <c r="F948" s="6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3"/>
      <c r="C949" s="6"/>
      <c r="D949" s="6"/>
      <c r="E949" s="6"/>
      <c r="F949" s="6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3"/>
      <c r="C950" s="6"/>
      <c r="D950" s="6"/>
      <c r="E950" s="6"/>
      <c r="F950" s="6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3"/>
      <c r="C951" s="6"/>
      <c r="D951" s="6"/>
      <c r="E951" s="6"/>
      <c r="F951" s="6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3"/>
      <c r="C952" s="6"/>
      <c r="D952" s="6"/>
      <c r="E952" s="6"/>
      <c r="F952" s="6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3"/>
      <c r="C953" s="6"/>
      <c r="D953" s="6"/>
      <c r="E953" s="6"/>
      <c r="F953" s="6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3"/>
      <c r="C954" s="6"/>
      <c r="D954" s="6"/>
      <c r="E954" s="6"/>
      <c r="F954" s="6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3"/>
      <c r="C955" s="6"/>
      <c r="D955" s="6"/>
      <c r="E955" s="6"/>
      <c r="F955" s="6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3"/>
      <c r="C956" s="6"/>
      <c r="D956" s="6"/>
      <c r="E956" s="6"/>
      <c r="F956" s="6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3"/>
      <c r="C957" s="6"/>
      <c r="D957" s="6"/>
      <c r="E957" s="6"/>
      <c r="F957" s="6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3"/>
      <c r="C958" s="6"/>
      <c r="D958" s="6"/>
      <c r="E958" s="6"/>
      <c r="F958" s="6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3"/>
      <c r="C959" s="6"/>
      <c r="D959" s="6"/>
      <c r="E959" s="6"/>
      <c r="F959" s="6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3"/>
      <c r="C960" s="6"/>
      <c r="D960" s="6"/>
      <c r="E960" s="6"/>
      <c r="F960" s="6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3"/>
      <c r="C961" s="6"/>
      <c r="D961" s="6"/>
      <c r="E961" s="6"/>
      <c r="F961" s="6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3"/>
      <c r="C962" s="6"/>
      <c r="D962" s="6"/>
      <c r="E962" s="6"/>
      <c r="F962" s="6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3"/>
      <c r="C963" s="6"/>
      <c r="D963" s="6"/>
      <c r="E963" s="6"/>
      <c r="F963" s="6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3"/>
      <c r="C964" s="6"/>
      <c r="D964" s="6"/>
      <c r="E964" s="6"/>
      <c r="F964" s="6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3"/>
      <c r="C965" s="6"/>
      <c r="D965" s="6"/>
      <c r="E965" s="6"/>
      <c r="F965" s="6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3"/>
      <c r="C966" s="6"/>
      <c r="D966" s="6"/>
      <c r="E966" s="6"/>
      <c r="F966" s="6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3"/>
      <c r="C967" s="6"/>
      <c r="D967" s="6"/>
      <c r="E967" s="6"/>
      <c r="F967" s="6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3"/>
      <c r="C968" s="6"/>
      <c r="D968" s="6"/>
      <c r="E968" s="6"/>
      <c r="F968" s="6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3"/>
      <c r="C969" s="6"/>
      <c r="D969" s="6"/>
      <c r="E969" s="6"/>
      <c r="F969" s="6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3"/>
      <c r="C970" s="6"/>
      <c r="D970" s="6"/>
      <c r="E970" s="6"/>
      <c r="F970" s="6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3"/>
      <c r="C971" s="6"/>
      <c r="D971" s="6"/>
      <c r="E971" s="6"/>
      <c r="F971" s="6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3"/>
      <c r="C972" s="6"/>
      <c r="D972" s="6"/>
      <c r="E972" s="6"/>
      <c r="F972" s="6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3"/>
      <c r="C973" s="6"/>
      <c r="D973" s="6"/>
      <c r="E973" s="6"/>
      <c r="F973" s="6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3"/>
      <c r="C974" s="6"/>
      <c r="D974" s="6"/>
      <c r="E974" s="6"/>
      <c r="F974" s="6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3"/>
      <c r="C975" s="6"/>
      <c r="D975" s="6"/>
      <c r="E975" s="6"/>
      <c r="F975" s="6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3"/>
      <c r="C976" s="6"/>
      <c r="D976" s="6"/>
      <c r="E976" s="6"/>
      <c r="F976" s="6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3"/>
      <c r="C977" s="6"/>
      <c r="D977" s="6"/>
      <c r="E977" s="6"/>
      <c r="F977" s="6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3"/>
      <c r="C978" s="6"/>
      <c r="D978" s="6"/>
      <c r="E978" s="6"/>
      <c r="F978" s="6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3"/>
      <c r="C979" s="6"/>
      <c r="D979" s="6"/>
      <c r="E979" s="6"/>
      <c r="F979" s="6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3"/>
      <c r="C980" s="6"/>
      <c r="D980" s="6"/>
      <c r="E980" s="6"/>
      <c r="F980" s="6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3"/>
      <c r="C981" s="6"/>
      <c r="D981" s="6"/>
      <c r="E981" s="6"/>
      <c r="F981" s="6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3"/>
      <c r="C982" s="6"/>
      <c r="D982" s="6"/>
      <c r="E982" s="6"/>
      <c r="F982" s="6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3"/>
      <c r="C983" s="6"/>
      <c r="D983" s="6"/>
      <c r="E983" s="6"/>
      <c r="F983" s="6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3"/>
      <c r="C984" s="6"/>
      <c r="D984" s="6"/>
      <c r="E984" s="6"/>
      <c r="F984" s="6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3"/>
      <c r="C985" s="6"/>
      <c r="D985" s="6"/>
      <c r="E985" s="6"/>
      <c r="F985" s="6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3"/>
      <c r="C986" s="6"/>
      <c r="D986" s="6"/>
      <c r="E986" s="6"/>
      <c r="F986" s="6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3"/>
      <c r="C987" s="6"/>
      <c r="D987" s="6"/>
      <c r="E987" s="6"/>
      <c r="F987" s="6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3"/>
      <c r="C988" s="6"/>
      <c r="D988" s="6"/>
      <c r="E988" s="6"/>
      <c r="F988" s="6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3"/>
      <c r="C989" s="6"/>
      <c r="D989" s="6"/>
      <c r="E989" s="6"/>
      <c r="F989" s="6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3"/>
      <c r="C990" s="6"/>
      <c r="D990" s="6"/>
      <c r="E990" s="6"/>
      <c r="F990" s="6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3"/>
      <c r="C991" s="6"/>
      <c r="D991" s="6"/>
      <c r="E991" s="6"/>
      <c r="F991" s="6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3"/>
      <c r="C992" s="6"/>
      <c r="D992" s="6"/>
      <c r="E992" s="6"/>
      <c r="F992" s="6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3"/>
      <c r="C993" s="6"/>
      <c r="D993" s="6"/>
      <c r="E993" s="6"/>
      <c r="F993" s="6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3"/>
      <c r="C994" s="6"/>
      <c r="D994" s="6"/>
      <c r="E994" s="6"/>
      <c r="F994" s="6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3"/>
      <c r="C995" s="6"/>
      <c r="D995" s="6"/>
      <c r="E995" s="6"/>
      <c r="F995" s="6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3"/>
      <c r="C996" s="6"/>
      <c r="D996" s="6"/>
      <c r="E996" s="6"/>
      <c r="F996" s="6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3"/>
      <c r="C997" s="6"/>
      <c r="D997" s="6"/>
      <c r="E997" s="6"/>
      <c r="F997" s="6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Tìm kiếm chuyến bay" location="'Tìm kiếm chuyến bay'!A1" ref="D9"/>
    <hyperlink display="Xem danh sách và chọn chuyến bay" location="'Xem danh sách và chọn chuyến ba'!A1" ref="D10"/>
    <hyperlink display="Đặt chỗ và thanh toán" location="'Đặt chỗ và thanh toán'!A1" ref="D11"/>
  </hyperlink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1.14"/>
    <col customWidth="1" min="3" max="3" width="17.86"/>
    <col customWidth="1" min="4" max="4" width="60.0"/>
    <col customWidth="1" min="5" max="5" width="12.29"/>
    <col customWidth="1" min="6" max="6" width="31.43"/>
    <col customWidth="1" min="7" max="26" width="9.14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10" t="s">
        <v>7</v>
      </c>
      <c r="B2" s="10" t="s">
        <v>8</v>
      </c>
      <c r="C2" s="11" t="s">
        <v>9</v>
      </c>
      <c r="D2" s="12" t="s">
        <v>10</v>
      </c>
      <c r="E2" s="11" t="s">
        <v>11</v>
      </c>
      <c r="F2" s="12" t="s">
        <v>12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15"/>
      <c r="B3" s="15"/>
      <c r="C3" s="11" t="s">
        <v>14</v>
      </c>
      <c r="D3" s="12" t="s">
        <v>15</v>
      </c>
      <c r="E3" s="11" t="s">
        <v>16</v>
      </c>
      <c r="F3" s="12" t="s">
        <v>17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.75" customHeight="1">
      <c r="A4" s="15"/>
      <c r="B4" s="15"/>
      <c r="C4" s="18" t="s">
        <v>19</v>
      </c>
      <c r="D4" s="20" t="s">
        <v>20</v>
      </c>
      <c r="E4" s="11" t="s">
        <v>11</v>
      </c>
      <c r="F4" s="12" t="s">
        <v>21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23"/>
      <c r="B5" s="10" t="s">
        <v>22</v>
      </c>
      <c r="C5" s="11" t="s">
        <v>23</v>
      </c>
      <c r="D5" s="12" t="s">
        <v>24</v>
      </c>
      <c r="E5" s="26" t="s">
        <v>16</v>
      </c>
      <c r="F5" s="12" t="s">
        <v>25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23"/>
      <c r="B6" s="15"/>
      <c r="C6" s="26" t="s">
        <v>26</v>
      </c>
      <c r="D6" s="12" t="s">
        <v>27</v>
      </c>
      <c r="E6" s="26" t="s">
        <v>16</v>
      </c>
      <c r="F6" s="12" t="s">
        <v>28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23"/>
      <c r="B7" s="15"/>
      <c r="C7" s="26" t="s">
        <v>29</v>
      </c>
      <c r="D7" s="12" t="s">
        <v>30</v>
      </c>
      <c r="E7" s="26" t="s">
        <v>16</v>
      </c>
      <c r="F7" s="12" t="s">
        <v>31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23"/>
      <c r="B8" s="10" t="s">
        <v>32</v>
      </c>
      <c r="C8" s="11" t="s">
        <v>33</v>
      </c>
      <c r="D8" s="29" t="s">
        <v>34</v>
      </c>
      <c r="E8" s="11" t="s">
        <v>16</v>
      </c>
      <c r="F8" s="12" t="s">
        <v>35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0" customHeight="1">
      <c r="A9" s="23"/>
      <c r="B9" s="15"/>
      <c r="C9" s="11" t="s">
        <v>37</v>
      </c>
      <c r="D9" s="12" t="s">
        <v>38</v>
      </c>
      <c r="E9" s="11" t="s">
        <v>16</v>
      </c>
      <c r="F9" s="12" t="s">
        <v>39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23"/>
      <c r="B10" s="15"/>
      <c r="C10" s="11" t="s">
        <v>40</v>
      </c>
      <c r="D10" s="12" t="s">
        <v>42</v>
      </c>
      <c r="E10" s="11" t="s">
        <v>16</v>
      </c>
      <c r="F10" s="12" t="s">
        <v>43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23"/>
      <c r="B11" s="15"/>
      <c r="C11" s="11" t="s">
        <v>45</v>
      </c>
      <c r="D11" s="12" t="s">
        <v>46</v>
      </c>
      <c r="E11" s="11" t="s">
        <v>47</v>
      </c>
      <c r="F11" s="12" t="s">
        <v>48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>
      <c r="A12" s="33"/>
      <c r="B12" s="15"/>
      <c r="C12" s="26" t="s">
        <v>52</v>
      </c>
      <c r="D12" s="12" t="s">
        <v>53</v>
      </c>
      <c r="E12" s="11" t="s">
        <v>11</v>
      </c>
      <c r="F12" s="12" t="s">
        <v>55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5.5" customHeight="1">
      <c r="A13" s="23"/>
      <c r="B13" s="15"/>
      <c r="C13" s="11" t="s">
        <v>56</v>
      </c>
      <c r="D13" s="12" t="s">
        <v>57</v>
      </c>
      <c r="E13" s="11" t="s">
        <v>16</v>
      </c>
      <c r="F13" s="12" t="s">
        <v>58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2.5" customHeight="1">
      <c r="A14" s="23"/>
      <c r="B14" s="36"/>
      <c r="C14" s="11" t="s">
        <v>60</v>
      </c>
      <c r="D14" s="12" t="s">
        <v>61</v>
      </c>
      <c r="E14" s="11" t="s">
        <v>47</v>
      </c>
      <c r="F14" s="12" t="s">
        <v>62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>
      <c r="A15" s="15"/>
      <c r="B15" s="10" t="s">
        <v>63</v>
      </c>
      <c r="C15" s="11" t="s">
        <v>64</v>
      </c>
      <c r="D15" s="12" t="s">
        <v>65</v>
      </c>
      <c r="E15" s="11" t="s">
        <v>16</v>
      </c>
      <c r="F15" s="12" t="s">
        <v>66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1.0" customHeight="1">
      <c r="A16" s="15"/>
      <c r="B16" s="15"/>
      <c r="C16" s="11" t="s">
        <v>67</v>
      </c>
      <c r="D16" s="12" t="s">
        <v>68</v>
      </c>
      <c r="E16" s="11" t="s">
        <v>47</v>
      </c>
      <c r="F16" s="12" t="s">
        <v>69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15"/>
      <c r="B17" s="15"/>
      <c r="C17" s="11" t="s">
        <v>71</v>
      </c>
      <c r="D17" s="12" t="s">
        <v>72</v>
      </c>
      <c r="E17" s="11" t="s">
        <v>16</v>
      </c>
      <c r="F17" s="12" t="s">
        <v>73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15"/>
      <c r="B18" s="15"/>
      <c r="C18" s="11" t="s">
        <v>74</v>
      </c>
      <c r="D18" s="12" t="s">
        <v>75</v>
      </c>
      <c r="E18" s="11" t="s">
        <v>47</v>
      </c>
      <c r="F18" s="12" t="s">
        <v>76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5"/>
      <c r="B19" s="36"/>
      <c r="C19" s="11" t="s">
        <v>78</v>
      </c>
      <c r="D19" s="12" t="s">
        <v>79</v>
      </c>
      <c r="E19" s="11" t="s">
        <v>16</v>
      </c>
      <c r="F19" s="12" t="s">
        <v>80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5"/>
      <c r="B20" s="10" t="s">
        <v>81</v>
      </c>
      <c r="C20" s="11" t="s">
        <v>82</v>
      </c>
      <c r="D20" s="12" t="s">
        <v>83</v>
      </c>
      <c r="E20" s="11" t="s">
        <v>16</v>
      </c>
      <c r="F20" s="12" t="s">
        <v>84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5"/>
      <c r="B21" s="15"/>
      <c r="C21" s="11" t="s">
        <v>85</v>
      </c>
      <c r="D21" s="12" t="s">
        <v>86</v>
      </c>
      <c r="E21" s="11" t="s">
        <v>47</v>
      </c>
      <c r="F21" s="12" t="s">
        <v>87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5"/>
      <c r="B22" s="15"/>
      <c r="C22" s="11" t="s">
        <v>89</v>
      </c>
      <c r="D22" s="12" t="s">
        <v>90</v>
      </c>
      <c r="E22" s="11" t="s">
        <v>91</v>
      </c>
      <c r="F22" s="12" t="s">
        <v>92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5"/>
      <c r="B23" s="36"/>
      <c r="C23" s="11" t="s">
        <v>93</v>
      </c>
      <c r="D23" s="12" t="s">
        <v>94</v>
      </c>
      <c r="E23" s="11" t="s">
        <v>16</v>
      </c>
      <c r="F23" s="12" t="s">
        <v>95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5"/>
      <c r="B24" s="10" t="s">
        <v>96</v>
      </c>
      <c r="C24" s="11" t="s">
        <v>97</v>
      </c>
      <c r="D24" s="12" t="s">
        <v>98</v>
      </c>
      <c r="E24" s="11" t="s">
        <v>16</v>
      </c>
      <c r="F24" s="12" t="s">
        <v>99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5"/>
      <c r="B25" s="15"/>
      <c r="C25" s="11" t="s">
        <v>101</v>
      </c>
      <c r="D25" s="12" t="s">
        <v>102</v>
      </c>
      <c r="E25" s="11" t="s">
        <v>16</v>
      </c>
      <c r="F25" s="12" t="s">
        <v>103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8.25" customHeight="1">
      <c r="A26" s="15"/>
      <c r="B26" s="15"/>
      <c r="C26" s="11" t="s">
        <v>104</v>
      </c>
      <c r="D26" s="12" t="s">
        <v>105</v>
      </c>
      <c r="E26" s="11" t="s">
        <v>47</v>
      </c>
      <c r="F26" s="12" t="s">
        <v>106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0" t="s">
        <v>107</v>
      </c>
      <c r="B27" s="10" t="s">
        <v>108</v>
      </c>
      <c r="C27" s="11" t="s">
        <v>109</v>
      </c>
      <c r="D27" s="12" t="s">
        <v>110</v>
      </c>
      <c r="E27" s="11" t="s">
        <v>11</v>
      </c>
      <c r="F27" s="12" t="s">
        <v>111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5"/>
      <c r="B28" s="15"/>
      <c r="C28" s="11" t="s">
        <v>112</v>
      </c>
      <c r="D28" s="12" t="s">
        <v>113</v>
      </c>
      <c r="E28" s="11" t="s">
        <v>11</v>
      </c>
      <c r="F28" s="12" t="s">
        <v>114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5"/>
      <c r="B29" s="36"/>
      <c r="C29" s="11" t="s">
        <v>118</v>
      </c>
      <c r="D29" s="12" t="s">
        <v>119</v>
      </c>
      <c r="E29" s="11" t="s">
        <v>16</v>
      </c>
      <c r="F29" s="12" t="s">
        <v>120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25.5" customHeight="1">
      <c r="A30" s="15"/>
      <c r="B30" s="18" t="s">
        <v>124</v>
      </c>
      <c r="C30" s="11" t="s">
        <v>125</v>
      </c>
      <c r="D30" s="12" t="s">
        <v>127</v>
      </c>
      <c r="E30" s="11" t="s">
        <v>16</v>
      </c>
      <c r="F30" s="12" t="s">
        <v>129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5"/>
      <c r="B31" s="15"/>
      <c r="C31" s="11" t="s">
        <v>131</v>
      </c>
      <c r="D31" s="12" t="s">
        <v>132</v>
      </c>
      <c r="E31" s="11" t="s">
        <v>16</v>
      </c>
      <c r="F31" s="12" t="s">
        <v>133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5"/>
      <c r="B32" s="15"/>
      <c r="C32" s="11" t="s">
        <v>137</v>
      </c>
      <c r="D32" s="12" t="s">
        <v>139</v>
      </c>
      <c r="E32" s="11" t="s">
        <v>16</v>
      </c>
      <c r="F32" s="12" t="s">
        <v>141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5"/>
      <c r="B33" s="15"/>
      <c r="C33" s="11" t="s">
        <v>143</v>
      </c>
      <c r="D33" s="12" t="s">
        <v>144</v>
      </c>
      <c r="E33" s="11" t="s">
        <v>16</v>
      </c>
      <c r="F33" s="12" t="s">
        <v>146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5"/>
      <c r="B34" s="15"/>
      <c r="C34" s="11" t="s">
        <v>147</v>
      </c>
      <c r="D34" s="12" t="s">
        <v>148</v>
      </c>
      <c r="E34" s="11" t="s">
        <v>16</v>
      </c>
      <c r="F34" s="12" t="s">
        <v>149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5"/>
      <c r="B35" s="36"/>
      <c r="C35" s="11" t="s">
        <v>152</v>
      </c>
      <c r="D35" s="12" t="s">
        <v>153</v>
      </c>
      <c r="E35" s="11" t="s">
        <v>16</v>
      </c>
      <c r="F35" s="12" t="s">
        <v>154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25.5" customHeight="1">
      <c r="A36" s="15"/>
      <c r="B36" s="10" t="s">
        <v>159</v>
      </c>
      <c r="C36" s="11" t="s">
        <v>160</v>
      </c>
      <c r="D36" s="12" t="s">
        <v>161</v>
      </c>
      <c r="E36" s="12" t="s">
        <v>16</v>
      </c>
      <c r="F36" s="12" t="s">
        <v>162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5"/>
      <c r="B37" s="15"/>
      <c r="C37" s="11" t="s">
        <v>164</v>
      </c>
      <c r="D37" s="12" t="s">
        <v>166</v>
      </c>
      <c r="E37" s="12" t="s">
        <v>16</v>
      </c>
      <c r="F37" s="12" t="s">
        <v>167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75" customHeight="1">
      <c r="A38" s="15"/>
      <c r="B38" s="15"/>
      <c r="C38" s="11" t="s">
        <v>168</v>
      </c>
      <c r="D38" s="12" t="s">
        <v>169</v>
      </c>
      <c r="E38" s="12" t="s">
        <v>16</v>
      </c>
      <c r="F38" s="12" t="s">
        <v>170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5"/>
      <c r="B39" s="15"/>
      <c r="C39" s="11" t="s">
        <v>172</v>
      </c>
      <c r="D39" s="12" t="s">
        <v>173</v>
      </c>
      <c r="E39" s="12" t="s">
        <v>16</v>
      </c>
      <c r="F39" s="12" t="s">
        <v>174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5"/>
      <c r="B40" s="15"/>
      <c r="C40" s="11" t="s">
        <v>177</v>
      </c>
      <c r="D40" s="12" t="s">
        <v>179</v>
      </c>
      <c r="E40" s="12" t="s">
        <v>47</v>
      </c>
      <c r="F40" s="12" t="s">
        <v>180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5"/>
      <c r="B41" s="36"/>
      <c r="C41" s="11" t="s">
        <v>183</v>
      </c>
      <c r="D41" s="12" t="s">
        <v>184</v>
      </c>
      <c r="E41" s="12" t="s">
        <v>16</v>
      </c>
      <c r="F41" s="12" t="s">
        <v>186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5"/>
      <c r="B42" s="10" t="s">
        <v>187</v>
      </c>
      <c r="C42" s="11" t="s">
        <v>188</v>
      </c>
      <c r="D42" s="12" t="s">
        <v>189</v>
      </c>
      <c r="E42" s="12" t="s">
        <v>16</v>
      </c>
      <c r="F42" s="12" t="s">
        <v>191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5"/>
      <c r="B43" s="15"/>
      <c r="C43" s="11" t="s">
        <v>193</v>
      </c>
      <c r="D43" s="12" t="s">
        <v>194</v>
      </c>
      <c r="E43" s="12" t="s">
        <v>16</v>
      </c>
      <c r="F43" s="12" t="s">
        <v>195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5"/>
      <c r="B44" s="15"/>
      <c r="C44" s="11" t="s">
        <v>196</v>
      </c>
      <c r="D44" s="12" t="s">
        <v>198</v>
      </c>
      <c r="E44" s="12" t="s">
        <v>16</v>
      </c>
      <c r="F44" s="12" t="s">
        <v>199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5"/>
      <c r="B45" s="36"/>
      <c r="C45" s="11" t="s">
        <v>201</v>
      </c>
      <c r="D45" s="12" t="s">
        <v>202</v>
      </c>
      <c r="E45" s="12" t="s">
        <v>16</v>
      </c>
      <c r="F45" s="12" t="s">
        <v>203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25.5" customHeight="1">
      <c r="A46" s="15"/>
      <c r="B46" s="10" t="s">
        <v>205</v>
      </c>
      <c r="C46" s="11" t="s">
        <v>207</v>
      </c>
      <c r="D46" s="12" t="s">
        <v>208</v>
      </c>
      <c r="E46" s="12" t="s">
        <v>11</v>
      </c>
      <c r="F46" s="12" t="s">
        <v>209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5"/>
      <c r="B47" s="15"/>
      <c r="C47" s="11" t="s">
        <v>210</v>
      </c>
      <c r="D47" s="99" t="s">
        <v>211</v>
      </c>
      <c r="E47" s="12" t="s">
        <v>212</v>
      </c>
      <c r="F47" s="12" t="s">
        <v>213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5"/>
      <c r="B48" s="36"/>
      <c r="C48" s="11" t="s">
        <v>214</v>
      </c>
      <c r="D48" s="12" t="s">
        <v>215</v>
      </c>
      <c r="E48" s="12" t="s">
        <v>16</v>
      </c>
      <c r="F48" s="12" t="s">
        <v>216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5"/>
      <c r="B49" s="10" t="s">
        <v>217</v>
      </c>
      <c r="C49" s="11" t="s">
        <v>218</v>
      </c>
      <c r="D49" s="12" t="s">
        <v>219</v>
      </c>
      <c r="E49" s="12" t="s">
        <v>16</v>
      </c>
      <c r="F49" s="12" t="s">
        <v>220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36"/>
      <c r="B50" s="36"/>
      <c r="C50" s="11" t="s">
        <v>221</v>
      </c>
      <c r="D50" s="99" t="s">
        <v>222</v>
      </c>
      <c r="E50" s="12" t="s">
        <v>16</v>
      </c>
      <c r="F50" s="12" t="s">
        <v>223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0" t="s">
        <v>224</v>
      </c>
      <c r="B51" s="10" t="s">
        <v>225</v>
      </c>
      <c r="C51" s="11" t="s">
        <v>226</v>
      </c>
      <c r="D51" s="12" t="s">
        <v>227</v>
      </c>
      <c r="E51" s="12" t="s">
        <v>11</v>
      </c>
      <c r="F51" s="12" t="s">
        <v>228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5"/>
      <c r="B52" s="15"/>
      <c r="C52" s="11" t="s">
        <v>229</v>
      </c>
      <c r="D52" s="12" t="s">
        <v>230</v>
      </c>
      <c r="E52" s="12" t="s">
        <v>16</v>
      </c>
      <c r="F52" s="12" t="s">
        <v>231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5"/>
      <c r="B53" s="15"/>
      <c r="C53" s="11" t="s">
        <v>232</v>
      </c>
      <c r="D53" s="12" t="s">
        <v>233</v>
      </c>
      <c r="E53" s="12" t="s">
        <v>47</v>
      </c>
      <c r="F53" s="12" t="s">
        <v>234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5"/>
      <c r="B54" s="15"/>
      <c r="C54" s="11" t="s">
        <v>235</v>
      </c>
      <c r="D54" s="12" t="s">
        <v>236</v>
      </c>
      <c r="E54" s="12" t="s">
        <v>47</v>
      </c>
      <c r="F54" s="12" t="s">
        <v>237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5"/>
      <c r="B55" s="15"/>
      <c r="C55" s="11" t="s">
        <v>238</v>
      </c>
      <c r="D55" s="12" t="s">
        <v>239</v>
      </c>
      <c r="E55" s="12" t="s">
        <v>47</v>
      </c>
      <c r="F55" s="12" t="s">
        <v>240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5"/>
      <c r="B56" s="15"/>
      <c r="C56" s="11" t="s">
        <v>241</v>
      </c>
      <c r="D56" s="12" t="s">
        <v>242</v>
      </c>
      <c r="E56" s="12" t="s">
        <v>47</v>
      </c>
      <c r="F56" s="12" t="s">
        <v>243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5"/>
      <c r="B57" s="15"/>
      <c r="C57" s="11" t="s">
        <v>244</v>
      </c>
      <c r="D57" s="12" t="s">
        <v>245</v>
      </c>
      <c r="E57" s="12" t="s">
        <v>47</v>
      </c>
      <c r="F57" s="12" t="s">
        <v>246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5"/>
      <c r="B58" s="36"/>
      <c r="C58" s="11" t="s">
        <v>247</v>
      </c>
      <c r="D58" s="12" t="s">
        <v>248</v>
      </c>
      <c r="E58" s="12" t="s">
        <v>16</v>
      </c>
      <c r="F58" s="12" t="s">
        <v>249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0" customHeight="1">
      <c r="A59" s="15"/>
      <c r="B59" s="10" t="s">
        <v>250</v>
      </c>
      <c r="C59" s="11" t="s">
        <v>251</v>
      </c>
      <c r="D59" s="12" t="s">
        <v>252</v>
      </c>
      <c r="E59" s="12" t="s">
        <v>16</v>
      </c>
      <c r="F59" s="12" t="s">
        <v>253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5"/>
      <c r="B60" s="36"/>
      <c r="C60" s="11" t="s">
        <v>254</v>
      </c>
      <c r="D60" s="12" t="s">
        <v>255</v>
      </c>
      <c r="E60" s="12" t="s">
        <v>16</v>
      </c>
      <c r="F60" s="12" t="s">
        <v>256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0.75" customHeight="1">
      <c r="A61" s="15"/>
      <c r="B61" s="10" t="s">
        <v>257</v>
      </c>
      <c r="C61" s="11" t="s">
        <v>258</v>
      </c>
      <c r="D61" s="12" t="s">
        <v>259</v>
      </c>
      <c r="E61" s="12" t="s">
        <v>16</v>
      </c>
      <c r="F61" s="12" t="s">
        <v>260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0" customHeight="1">
      <c r="A62" s="15"/>
      <c r="B62" s="15"/>
      <c r="C62" s="11" t="s">
        <v>262</v>
      </c>
      <c r="D62" s="12" t="s">
        <v>263</v>
      </c>
      <c r="E62" s="12" t="s">
        <v>47</v>
      </c>
      <c r="F62" s="12" t="s">
        <v>265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25.5" customHeight="1">
      <c r="A63" s="15"/>
      <c r="B63" s="15"/>
      <c r="C63" s="11" t="s">
        <v>268</v>
      </c>
      <c r="D63" s="12" t="s">
        <v>269</v>
      </c>
      <c r="E63" s="12" t="s">
        <v>16</v>
      </c>
      <c r="F63" s="12" t="s">
        <v>271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5"/>
      <c r="B64" s="36"/>
      <c r="C64" s="11" t="s">
        <v>274</v>
      </c>
      <c r="D64" s="12" t="s">
        <v>275</v>
      </c>
      <c r="E64" s="12" t="s">
        <v>276</v>
      </c>
      <c r="F64" s="12" t="s">
        <v>277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5"/>
      <c r="B65" s="11" t="s">
        <v>278</v>
      </c>
      <c r="C65" s="11" t="s">
        <v>279</v>
      </c>
      <c r="D65" s="12" t="s">
        <v>280</v>
      </c>
      <c r="E65" s="12" t="s">
        <v>11</v>
      </c>
      <c r="F65" s="12" t="s">
        <v>281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25.5" customHeight="1">
      <c r="A66" s="15"/>
      <c r="B66" s="119"/>
      <c r="C66" s="11" t="s">
        <v>283</v>
      </c>
      <c r="D66" s="12" t="s">
        <v>284</v>
      </c>
      <c r="E66" s="12" t="s">
        <v>276</v>
      </c>
      <c r="F66" s="12" t="s">
        <v>285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25.5" customHeight="1">
      <c r="A67" s="15"/>
      <c r="B67" s="18" t="s">
        <v>287</v>
      </c>
      <c r="C67" s="11" t="s">
        <v>288</v>
      </c>
      <c r="D67" s="12" t="s">
        <v>289</v>
      </c>
      <c r="E67" s="12" t="s">
        <v>16</v>
      </c>
      <c r="F67" s="12" t="s">
        <v>291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5"/>
      <c r="B68" s="15"/>
      <c r="C68" s="11" t="s">
        <v>292</v>
      </c>
      <c r="D68" s="12" t="s">
        <v>293</v>
      </c>
      <c r="E68" s="12" t="s">
        <v>16</v>
      </c>
      <c r="F68" s="12" t="s">
        <v>294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5"/>
      <c r="B69" s="15"/>
      <c r="C69" s="11" t="s">
        <v>295</v>
      </c>
      <c r="D69" s="12" t="s">
        <v>296</v>
      </c>
      <c r="E69" s="12" t="s">
        <v>16</v>
      </c>
      <c r="F69" s="12" t="s">
        <v>297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5"/>
      <c r="B70" s="15"/>
      <c r="C70" s="11" t="s">
        <v>298</v>
      </c>
      <c r="D70" s="12" t="s">
        <v>299</v>
      </c>
      <c r="E70" s="12" t="s">
        <v>47</v>
      </c>
      <c r="F70" s="12" t="s">
        <v>300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5"/>
      <c r="B71" s="15"/>
      <c r="C71" s="11" t="s">
        <v>301</v>
      </c>
      <c r="D71" s="12" t="s">
        <v>302</v>
      </c>
      <c r="E71" s="12" t="s">
        <v>47</v>
      </c>
      <c r="F71" s="12" t="s">
        <v>303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5"/>
      <c r="B72" s="15"/>
      <c r="C72" s="11" t="s">
        <v>304</v>
      </c>
      <c r="D72" s="12" t="s">
        <v>305</v>
      </c>
      <c r="E72" s="12" t="s">
        <v>47</v>
      </c>
      <c r="F72" s="12" t="s">
        <v>306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5"/>
      <c r="B73" s="15"/>
      <c r="C73" s="11" t="s">
        <v>307</v>
      </c>
      <c r="D73" s="12" t="s">
        <v>308</v>
      </c>
      <c r="E73" s="12" t="s">
        <v>47</v>
      </c>
      <c r="F73" s="12" t="s">
        <v>309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5"/>
      <c r="B74" s="10" t="s">
        <v>311</v>
      </c>
      <c r="C74" s="11" t="s">
        <v>312</v>
      </c>
      <c r="D74" s="12" t="s">
        <v>313</v>
      </c>
      <c r="E74" s="12" t="s">
        <v>16</v>
      </c>
      <c r="F74" s="12" t="s">
        <v>314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36"/>
      <c r="B75" s="36"/>
      <c r="C75" s="11" t="s">
        <v>316</v>
      </c>
      <c r="D75" s="12" t="s">
        <v>317</v>
      </c>
      <c r="E75" s="12" t="s">
        <v>318</v>
      </c>
      <c r="F75" s="12" t="s">
        <v>320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5"/>
      <c r="B76" s="15"/>
      <c r="C76" s="15"/>
      <c r="D76" s="128"/>
      <c r="E76" s="128"/>
      <c r="F76" s="128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5"/>
      <c r="B77" s="15"/>
      <c r="C77" s="15"/>
      <c r="D77" s="128"/>
      <c r="E77" s="128"/>
      <c r="F77" s="128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5"/>
      <c r="B78" s="15"/>
      <c r="C78" s="36"/>
      <c r="D78" s="128"/>
      <c r="E78" s="128"/>
      <c r="F78" s="128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5"/>
      <c r="B79" s="15"/>
      <c r="C79" s="133"/>
      <c r="D79" s="128"/>
      <c r="E79" s="128"/>
      <c r="F79" s="128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5"/>
      <c r="B80" s="15"/>
      <c r="C80" s="15"/>
      <c r="D80" s="128"/>
      <c r="E80" s="128"/>
      <c r="F80" s="128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5"/>
      <c r="B81" s="15"/>
      <c r="C81" s="15"/>
      <c r="D81" s="128"/>
      <c r="E81" s="128"/>
      <c r="F81" s="128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5"/>
      <c r="B82" s="36"/>
      <c r="C82" s="36"/>
      <c r="D82" s="128"/>
      <c r="E82" s="128"/>
      <c r="F82" s="128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25.5" customHeight="1">
      <c r="A83" s="15"/>
      <c r="B83" s="133"/>
      <c r="C83" s="133"/>
      <c r="D83" s="128"/>
      <c r="E83" s="128"/>
      <c r="F83" s="128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25.5" customHeight="1">
      <c r="A84" s="15"/>
      <c r="B84" s="15"/>
      <c r="C84" s="15"/>
      <c r="D84" s="128"/>
      <c r="E84" s="128"/>
      <c r="F84" s="128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25.5" customHeight="1">
      <c r="A85" s="15"/>
      <c r="B85" s="15"/>
      <c r="C85" s="15"/>
      <c r="D85" s="128"/>
      <c r="E85" s="128"/>
      <c r="F85" s="128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5"/>
      <c r="B86" s="36"/>
      <c r="C86" s="36"/>
      <c r="D86" s="128"/>
      <c r="E86" s="128"/>
      <c r="F86" s="128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5"/>
      <c r="B87" s="133"/>
      <c r="C87" s="133"/>
      <c r="D87" s="128"/>
      <c r="E87" s="128"/>
      <c r="F87" s="128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5"/>
      <c r="B88" s="15"/>
      <c r="C88" s="15"/>
      <c r="D88" s="128"/>
      <c r="E88" s="128"/>
      <c r="F88" s="128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25.5" customHeight="1">
      <c r="A89" s="15"/>
      <c r="B89" s="15"/>
      <c r="C89" s="15"/>
      <c r="D89" s="128"/>
      <c r="E89" s="128"/>
      <c r="F89" s="128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5"/>
      <c r="B90" s="15"/>
      <c r="C90" s="15"/>
      <c r="D90" s="128"/>
      <c r="E90" s="119"/>
      <c r="F90" s="128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5"/>
      <c r="B91" s="15"/>
      <c r="C91" s="15"/>
      <c r="D91" s="128"/>
      <c r="E91" s="119"/>
      <c r="F91" s="128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5"/>
      <c r="B92" s="15"/>
      <c r="C92" s="15"/>
      <c r="D92" s="128"/>
      <c r="E92" s="119"/>
      <c r="F92" s="128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5"/>
      <c r="B93" s="15"/>
      <c r="C93" s="15"/>
      <c r="D93" s="128"/>
      <c r="E93" s="119"/>
      <c r="F93" s="128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5"/>
      <c r="B94" s="15"/>
      <c r="C94" s="15"/>
      <c r="D94" s="128"/>
      <c r="E94" s="119"/>
      <c r="F94" s="128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5"/>
      <c r="B95" s="15"/>
      <c r="C95" s="15"/>
      <c r="D95" s="128"/>
      <c r="E95" s="119"/>
      <c r="F95" s="128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5"/>
      <c r="B96" s="15"/>
      <c r="C96" s="15"/>
      <c r="D96" s="128"/>
      <c r="E96" s="119"/>
      <c r="F96" s="128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5"/>
      <c r="B97" s="15"/>
      <c r="C97" s="15"/>
      <c r="D97" s="128"/>
      <c r="E97" s="119"/>
      <c r="F97" s="128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5"/>
      <c r="B98" s="15"/>
      <c r="C98" s="15"/>
      <c r="D98" s="128"/>
      <c r="E98" s="119"/>
      <c r="F98" s="128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5"/>
      <c r="B99" s="15"/>
      <c r="C99" s="15"/>
      <c r="D99" s="128"/>
      <c r="E99" s="119"/>
      <c r="F99" s="128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25.5" customHeight="1">
      <c r="A100" s="15"/>
      <c r="B100" s="15"/>
      <c r="C100" s="15"/>
      <c r="D100" s="128"/>
      <c r="E100" s="119"/>
      <c r="F100" s="128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5"/>
      <c r="B101" s="15"/>
      <c r="C101" s="15"/>
      <c r="D101" s="128"/>
      <c r="E101" s="119"/>
      <c r="F101" s="128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5"/>
      <c r="B102" s="15"/>
      <c r="C102" s="15"/>
      <c r="D102" s="128"/>
      <c r="E102" s="119"/>
      <c r="F102" s="128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5"/>
      <c r="B103" s="15"/>
      <c r="C103" s="15"/>
      <c r="D103" s="128"/>
      <c r="E103" s="128"/>
      <c r="F103" s="128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5"/>
      <c r="B104" s="15"/>
      <c r="C104" s="36"/>
      <c r="D104" s="128"/>
      <c r="E104" s="128"/>
      <c r="F104" s="128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25.5" customHeight="1">
      <c r="A105" s="15"/>
      <c r="B105" s="15"/>
      <c r="C105" s="133"/>
      <c r="D105" s="128"/>
      <c r="E105" s="128"/>
      <c r="F105" s="128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0" customHeight="1">
      <c r="A106" s="15"/>
      <c r="B106" s="15"/>
      <c r="C106" s="15"/>
      <c r="D106" s="128"/>
      <c r="E106" s="128"/>
      <c r="F106" s="128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0" customHeight="1">
      <c r="A107" s="15"/>
      <c r="B107" s="15"/>
      <c r="C107" s="15"/>
      <c r="D107" s="128"/>
      <c r="E107" s="128"/>
      <c r="F107" s="128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0" customHeight="1">
      <c r="A108" s="15"/>
      <c r="B108" s="15"/>
      <c r="C108" s="15"/>
      <c r="D108" s="128"/>
      <c r="E108" s="128"/>
      <c r="F108" s="128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0" customHeight="1">
      <c r="A109" s="15"/>
      <c r="B109" s="15"/>
      <c r="C109" s="15"/>
      <c r="D109" s="128"/>
      <c r="E109" s="128"/>
      <c r="F109" s="128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0" customHeight="1">
      <c r="A110" s="15"/>
      <c r="B110" s="15"/>
      <c r="C110" s="15"/>
      <c r="D110" s="128"/>
      <c r="E110" s="128"/>
      <c r="F110" s="128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5"/>
      <c r="B111" s="15"/>
      <c r="C111" s="15"/>
      <c r="D111" s="128"/>
      <c r="E111" s="128"/>
      <c r="F111" s="128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0" customHeight="1">
      <c r="A112" s="15"/>
      <c r="B112" s="15"/>
      <c r="C112" s="15"/>
      <c r="D112" s="128"/>
      <c r="E112" s="128"/>
      <c r="F112" s="128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0" customHeight="1">
      <c r="A113" s="15"/>
      <c r="B113" s="15"/>
      <c r="C113" s="36"/>
      <c r="D113" s="128"/>
      <c r="E113" s="128"/>
      <c r="F113" s="128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25.5" customHeight="1">
      <c r="A114" s="15"/>
      <c r="B114" s="15"/>
      <c r="C114" s="133"/>
      <c r="D114" s="128"/>
      <c r="E114" s="128"/>
      <c r="F114" s="128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25.5" customHeight="1">
      <c r="A115" s="15"/>
      <c r="B115" s="15"/>
      <c r="C115" s="15"/>
      <c r="D115" s="128"/>
      <c r="E115" s="128"/>
      <c r="F115" s="128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5"/>
      <c r="B116" s="15"/>
      <c r="C116" s="15"/>
      <c r="D116" s="128"/>
      <c r="E116" s="128"/>
      <c r="F116" s="128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0" customHeight="1">
      <c r="A117" s="15"/>
      <c r="B117" s="15"/>
      <c r="C117" s="15"/>
      <c r="D117" s="128"/>
      <c r="E117" s="128"/>
      <c r="F117" s="128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0" customHeight="1">
      <c r="A118" s="15"/>
      <c r="B118" s="15"/>
      <c r="C118" s="15"/>
      <c r="D118" s="128"/>
      <c r="E118" s="128"/>
      <c r="F118" s="128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0" customHeight="1">
      <c r="A119" s="15"/>
      <c r="B119" s="15"/>
      <c r="C119" s="15"/>
      <c r="D119" s="128"/>
      <c r="E119" s="128"/>
      <c r="F119" s="128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0" customHeight="1">
      <c r="A120" s="15"/>
      <c r="B120" s="15"/>
      <c r="C120" s="36"/>
      <c r="D120" s="128"/>
      <c r="E120" s="128"/>
      <c r="F120" s="128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5"/>
      <c r="B121" s="133"/>
      <c r="C121" s="133"/>
      <c r="D121" s="128"/>
      <c r="E121" s="128"/>
      <c r="F121" s="128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5"/>
      <c r="B122" s="15"/>
      <c r="C122" s="15"/>
      <c r="D122" s="128"/>
      <c r="E122" s="128"/>
      <c r="F122" s="128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5"/>
      <c r="B123" s="15"/>
      <c r="C123" s="15"/>
      <c r="D123" s="128"/>
      <c r="E123" s="128"/>
      <c r="F123" s="128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5"/>
      <c r="B124" s="15"/>
      <c r="C124" s="15"/>
      <c r="D124" s="128"/>
      <c r="E124" s="119"/>
      <c r="F124" s="128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5"/>
      <c r="B125" s="15"/>
      <c r="C125" s="15"/>
      <c r="D125" s="128"/>
      <c r="E125" s="119"/>
      <c r="F125" s="128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5"/>
      <c r="B126" s="15"/>
      <c r="C126" s="15"/>
      <c r="D126" s="128"/>
      <c r="E126" s="119"/>
      <c r="F126" s="128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5"/>
      <c r="B127" s="15"/>
      <c r="C127" s="15"/>
      <c r="D127" s="128"/>
      <c r="E127" s="119"/>
      <c r="F127" s="128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5"/>
      <c r="B128" s="15"/>
      <c r="C128" s="15"/>
      <c r="D128" s="128"/>
      <c r="E128" s="119"/>
      <c r="F128" s="128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5"/>
      <c r="B129" s="15"/>
      <c r="C129" s="15"/>
      <c r="D129" s="128"/>
      <c r="E129" s="119"/>
      <c r="F129" s="128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5"/>
      <c r="B130" s="15"/>
      <c r="C130" s="15"/>
      <c r="D130" s="128"/>
      <c r="E130" s="119"/>
      <c r="F130" s="128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5"/>
      <c r="B131" s="15"/>
      <c r="C131" s="15"/>
      <c r="D131" s="128"/>
      <c r="E131" s="119"/>
      <c r="F131" s="128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5"/>
      <c r="B132" s="15"/>
      <c r="C132" s="15"/>
      <c r="D132" s="128"/>
      <c r="E132" s="119"/>
      <c r="F132" s="128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5"/>
      <c r="B133" s="15"/>
      <c r="C133" s="15"/>
      <c r="D133" s="128"/>
      <c r="E133" s="119"/>
      <c r="F133" s="128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5"/>
      <c r="B134" s="15"/>
      <c r="C134" s="15"/>
      <c r="D134" s="128"/>
      <c r="E134" s="119"/>
      <c r="F134" s="128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5"/>
      <c r="B135" s="15"/>
      <c r="C135" s="15"/>
      <c r="D135" s="128"/>
      <c r="E135" s="119"/>
      <c r="F135" s="128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5"/>
      <c r="B136" s="15"/>
      <c r="C136" s="15"/>
      <c r="D136" s="128"/>
      <c r="E136" s="119"/>
      <c r="F136" s="128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5"/>
      <c r="B137" s="15"/>
      <c r="C137" s="15"/>
      <c r="D137" s="128"/>
      <c r="E137" s="119"/>
      <c r="F137" s="128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5"/>
      <c r="B138" s="15"/>
      <c r="C138" s="15"/>
      <c r="D138" s="128"/>
      <c r="E138" s="119"/>
      <c r="F138" s="128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5"/>
      <c r="B139" s="15"/>
      <c r="C139" s="15"/>
      <c r="D139" s="128"/>
      <c r="E139" s="119"/>
      <c r="F139" s="128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5"/>
      <c r="B140" s="15"/>
      <c r="C140" s="15"/>
      <c r="D140" s="128"/>
      <c r="E140" s="119"/>
      <c r="F140" s="128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5"/>
      <c r="B141" s="15"/>
      <c r="C141" s="15"/>
      <c r="D141" s="128"/>
      <c r="E141" s="119"/>
      <c r="F141" s="128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5"/>
      <c r="B142" s="15"/>
      <c r="C142" s="15"/>
      <c r="D142" s="128"/>
      <c r="E142" s="119"/>
      <c r="F142" s="128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5"/>
      <c r="B143" s="15"/>
      <c r="C143" s="15"/>
      <c r="D143" s="128"/>
      <c r="E143" s="119"/>
      <c r="F143" s="128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5"/>
      <c r="B144" s="15"/>
      <c r="C144" s="15"/>
      <c r="D144" s="128"/>
      <c r="E144" s="119"/>
      <c r="F144" s="128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5"/>
      <c r="B145" s="15"/>
      <c r="C145" s="15"/>
      <c r="D145" s="128"/>
      <c r="E145" s="119"/>
      <c r="F145" s="128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25.5" customHeight="1">
      <c r="A146" s="15"/>
      <c r="B146" s="15"/>
      <c r="C146" s="15"/>
      <c r="D146" s="128"/>
      <c r="E146" s="119"/>
      <c r="F146" s="128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5"/>
      <c r="B147" s="15"/>
      <c r="C147" s="15"/>
      <c r="D147" s="128"/>
      <c r="E147" s="119"/>
      <c r="F147" s="128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5"/>
      <c r="B148" s="15"/>
      <c r="C148" s="15"/>
      <c r="D148" s="128"/>
      <c r="E148" s="119"/>
      <c r="F148" s="128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5"/>
      <c r="B149" s="15"/>
      <c r="C149" s="15"/>
      <c r="D149" s="128"/>
      <c r="E149" s="128"/>
      <c r="F149" s="128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5"/>
      <c r="B150" s="15"/>
      <c r="C150" s="36"/>
      <c r="D150" s="128"/>
      <c r="E150" s="128"/>
      <c r="F150" s="128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8.25" customHeight="1">
      <c r="A151" s="15"/>
      <c r="B151" s="15"/>
      <c r="C151" s="133"/>
      <c r="D151" s="128"/>
      <c r="E151" s="128"/>
      <c r="F151" s="128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0" customHeight="1">
      <c r="A152" s="15"/>
      <c r="B152" s="15"/>
      <c r="C152" s="15"/>
      <c r="D152" s="128"/>
      <c r="E152" s="128"/>
      <c r="F152" s="128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0" customHeight="1">
      <c r="A153" s="15"/>
      <c r="B153" s="15"/>
      <c r="C153" s="15"/>
      <c r="D153" s="128"/>
      <c r="E153" s="128"/>
      <c r="F153" s="128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0" customHeight="1">
      <c r="A154" s="15"/>
      <c r="B154" s="15"/>
      <c r="C154" s="15"/>
      <c r="D154" s="128"/>
      <c r="E154" s="128"/>
      <c r="F154" s="128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0" customHeight="1">
      <c r="A155" s="15"/>
      <c r="B155" s="15"/>
      <c r="C155" s="15"/>
      <c r="D155" s="128"/>
      <c r="E155" s="128"/>
      <c r="F155" s="128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0" customHeight="1">
      <c r="A156" s="15"/>
      <c r="B156" s="15"/>
      <c r="C156" s="15"/>
      <c r="D156" s="128"/>
      <c r="E156" s="128"/>
      <c r="F156" s="128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25.5" customHeight="1">
      <c r="A157" s="15"/>
      <c r="B157" s="15"/>
      <c r="C157" s="15"/>
      <c r="D157" s="128"/>
      <c r="E157" s="128"/>
      <c r="F157" s="128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0" customHeight="1">
      <c r="A158" s="15"/>
      <c r="B158" s="15"/>
      <c r="C158" s="15"/>
      <c r="D158" s="128"/>
      <c r="E158" s="128"/>
      <c r="F158" s="128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0" customHeight="1">
      <c r="A159" s="15"/>
      <c r="B159" s="15"/>
      <c r="C159" s="15"/>
      <c r="D159" s="128"/>
      <c r="E159" s="128"/>
      <c r="F159" s="128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0" customHeight="1">
      <c r="A160" s="15"/>
      <c r="B160" s="15"/>
      <c r="C160" s="15"/>
      <c r="D160" s="128"/>
      <c r="E160" s="128"/>
      <c r="F160" s="128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0" customHeight="1">
      <c r="A161" s="15"/>
      <c r="B161" s="15"/>
      <c r="C161" s="36"/>
      <c r="D161" s="128"/>
      <c r="E161" s="128"/>
      <c r="F161" s="128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25.5" customHeight="1">
      <c r="A162" s="15"/>
      <c r="B162" s="15"/>
      <c r="C162" s="133"/>
      <c r="D162" s="128"/>
      <c r="E162" s="128"/>
      <c r="F162" s="128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25.5" customHeight="1">
      <c r="A163" s="15"/>
      <c r="B163" s="15"/>
      <c r="C163" s="15"/>
      <c r="D163" s="128"/>
      <c r="E163" s="128"/>
      <c r="F163" s="128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0" customHeight="1">
      <c r="A164" s="15"/>
      <c r="B164" s="15"/>
      <c r="C164" s="15"/>
      <c r="D164" s="128"/>
      <c r="E164" s="128"/>
      <c r="F164" s="128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0" customHeight="1">
      <c r="A165" s="15"/>
      <c r="B165" s="15"/>
      <c r="C165" s="15"/>
      <c r="D165" s="128"/>
      <c r="E165" s="128"/>
      <c r="F165" s="128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0" customHeight="1">
      <c r="A166" s="15"/>
      <c r="B166" s="15"/>
      <c r="C166" s="15"/>
      <c r="D166" s="128"/>
      <c r="E166" s="128"/>
      <c r="F166" s="128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0" customHeight="1">
      <c r="A167" s="15"/>
      <c r="B167" s="15"/>
      <c r="C167" s="15"/>
      <c r="D167" s="128"/>
      <c r="E167" s="128"/>
      <c r="F167" s="128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0" customHeight="1">
      <c r="A168" s="15"/>
      <c r="B168" s="15"/>
      <c r="C168" s="15"/>
      <c r="D168" s="128"/>
      <c r="E168" s="128"/>
      <c r="F168" s="128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0" customHeight="1">
      <c r="A169" s="15"/>
      <c r="B169" s="36"/>
      <c r="C169" s="36"/>
      <c r="D169" s="128"/>
      <c r="E169" s="128"/>
      <c r="F169" s="128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5"/>
      <c r="B170" s="133"/>
      <c r="C170" s="133"/>
      <c r="D170" s="128"/>
      <c r="E170" s="128"/>
      <c r="F170" s="128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25.5" customHeight="1">
      <c r="A171" s="15"/>
      <c r="B171" s="15"/>
      <c r="C171" s="15"/>
      <c r="D171" s="128"/>
      <c r="E171" s="128"/>
      <c r="F171" s="128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5"/>
      <c r="B172" s="15"/>
      <c r="C172" s="15"/>
      <c r="D172" s="128"/>
      <c r="E172" s="128"/>
      <c r="F172" s="128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5"/>
      <c r="B173" s="15"/>
      <c r="C173" s="15"/>
      <c r="D173" s="128"/>
      <c r="E173" s="128"/>
      <c r="F173" s="128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5"/>
      <c r="B174" s="15"/>
      <c r="C174" s="15"/>
      <c r="D174" s="128"/>
      <c r="E174" s="119"/>
      <c r="F174" s="128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5"/>
      <c r="B175" s="15"/>
      <c r="C175" s="15"/>
      <c r="D175" s="128"/>
      <c r="E175" s="119"/>
      <c r="F175" s="128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5"/>
      <c r="B176" s="15"/>
      <c r="C176" s="15"/>
      <c r="D176" s="128"/>
      <c r="E176" s="119"/>
      <c r="F176" s="128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5"/>
      <c r="B177" s="15"/>
      <c r="C177" s="15"/>
      <c r="D177" s="128"/>
      <c r="E177" s="119"/>
      <c r="F177" s="128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5"/>
      <c r="B178" s="15"/>
      <c r="C178" s="15"/>
      <c r="D178" s="128"/>
      <c r="E178" s="119"/>
      <c r="F178" s="128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5"/>
      <c r="B179" s="15"/>
      <c r="C179" s="15"/>
      <c r="D179" s="128"/>
      <c r="E179" s="119"/>
      <c r="F179" s="128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5"/>
      <c r="B180" s="15"/>
      <c r="C180" s="15"/>
      <c r="D180" s="128"/>
      <c r="E180" s="119"/>
      <c r="F180" s="128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5"/>
      <c r="B181" s="15"/>
      <c r="C181" s="15"/>
      <c r="D181" s="128"/>
      <c r="E181" s="119"/>
      <c r="F181" s="128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5"/>
      <c r="B182" s="15"/>
      <c r="C182" s="15"/>
      <c r="D182" s="128"/>
      <c r="E182" s="119"/>
      <c r="F182" s="128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5"/>
      <c r="B183" s="15"/>
      <c r="C183" s="15"/>
      <c r="D183" s="128"/>
      <c r="E183" s="119"/>
      <c r="F183" s="128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5"/>
      <c r="B184" s="15"/>
      <c r="C184" s="15"/>
      <c r="D184" s="128"/>
      <c r="E184" s="119"/>
      <c r="F184" s="128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5"/>
      <c r="B185" s="15"/>
      <c r="C185" s="15"/>
      <c r="D185" s="128"/>
      <c r="E185" s="119"/>
      <c r="F185" s="128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5"/>
      <c r="B186" s="15"/>
      <c r="C186" s="15"/>
      <c r="D186" s="128"/>
      <c r="E186" s="119"/>
      <c r="F186" s="128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5"/>
      <c r="B187" s="15"/>
      <c r="C187" s="15"/>
      <c r="D187" s="128"/>
      <c r="E187" s="119"/>
      <c r="F187" s="128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5"/>
      <c r="B188" s="15"/>
      <c r="C188" s="15"/>
      <c r="D188" s="128"/>
      <c r="E188" s="119"/>
      <c r="F188" s="128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5"/>
      <c r="B189" s="15"/>
      <c r="C189" s="15"/>
      <c r="D189" s="128"/>
      <c r="E189" s="119"/>
      <c r="F189" s="128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5"/>
      <c r="B190" s="15"/>
      <c r="C190" s="15"/>
      <c r="D190" s="128"/>
      <c r="E190" s="119"/>
      <c r="F190" s="128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5"/>
      <c r="B191" s="15"/>
      <c r="C191" s="15"/>
      <c r="D191" s="128"/>
      <c r="E191" s="119"/>
      <c r="F191" s="128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5"/>
      <c r="B192" s="15"/>
      <c r="C192" s="15"/>
      <c r="D192" s="128"/>
      <c r="E192" s="119"/>
      <c r="F192" s="128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5"/>
      <c r="B193" s="15"/>
      <c r="C193" s="15"/>
      <c r="D193" s="128"/>
      <c r="E193" s="119"/>
      <c r="F193" s="128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5"/>
      <c r="B194" s="15"/>
      <c r="C194" s="15"/>
      <c r="D194" s="128"/>
      <c r="E194" s="119"/>
      <c r="F194" s="128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5"/>
      <c r="B195" s="15"/>
      <c r="C195" s="15"/>
      <c r="D195" s="128"/>
      <c r="E195" s="119"/>
      <c r="F195" s="128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5"/>
      <c r="B196" s="15"/>
      <c r="C196" s="15"/>
      <c r="D196" s="128"/>
      <c r="E196" s="119"/>
      <c r="F196" s="128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5"/>
      <c r="B197" s="15"/>
      <c r="C197" s="15"/>
      <c r="D197" s="128"/>
      <c r="E197" s="119"/>
      <c r="F197" s="128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5"/>
      <c r="B198" s="15"/>
      <c r="C198" s="15"/>
      <c r="D198" s="128"/>
      <c r="E198" s="119"/>
      <c r="F198" s="128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5"/>
      <c r="B199" s="15"/>
      <c r="C199" s="15"/>
      <c r="D199" s="128"/>
      <c r="E199" s="128"/>
      <c r="F199" s="128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5"/>
      <c r="B200" s="15"/>
      <c r="C200" s="36"/>
      <c r="D200" s="128"/>
      <c r="E200" s="128"/>
      <c r="F200" s="128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8.25" customHeight="1">
      <c r="A201" s="15"/>
      <c r="B201" s="15"/>
      <c r="C201" s="133"/>
      <c r="D201" s="128"/>
      <c r="E201" s="128"/>
      <c r="F201" s="128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0" customHeight="1">
      <c r="A202" s="15"/>
      <c r="B202" s="15"/>
      <c r="C202" s="15"/>
      <c r="D202" s="128"/>
      <c r="E202" s="128"/>
      <c r="F202" s="128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0" customHeight="1">
      <c r="A203" s="15"/>
      <c r="B203" s="15"/>
      <c r="C203" s="15"/>
      <c r="D203" s="128"/>
      <c r="E203" s="128"/>
      <c r="F203" s="128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0" customHeight="1">
      <c r="A204" s="15"/>
      <c r="B204" s="15"/>
      <c r="C204" s="15"/>
      <c r="D204" s="128"/>
      <c r="E204" s="128"/>
      <c r="F204" s="128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0" customHeight="1">
      <c r="A205" s="15"/>
      <c r="B205" s="15"/>
      <c r="C205" s="15"/>
      <c r="D205" s="128"/>
      <c r="E205" s="128"/>
      <c r="F205" s="128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0" customHeight="1">
      <c r="A206" s="15"/>
      <c r="B206" s="15"/>
      <c r="C206" s="15"/>
      <c r="D206" s="128"/>
      <c r="E206" s="128"/>
      <c r="F206" s="128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25.5" customHeight="1">
      <c r="A207" s="15"/>
      <c r="B207" s="15"/>
      <c r="C207" s="15"/>
      <c r="D207" s="128"/>
      <c r="E207" s="128"/>
      <c r="F207" s="128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0" customHeight="1">
      <c r="A208" s="15"/>
      <c r="B208" s="15"/>
      <c r="C208" s="15"/>
      <c r="D208" s="128"/>
      <c r="E208" s="128"/>
      <c r="F208" s="128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0" customHeight="1">
      <c r="A209" s="15"/>
      <c r="B209" s="15"/>
      <c r="C209" s="15"/>
      <c r="D209" s="128"/>
      <c r="E209" s="128"/>
      <c r="F209" s="128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0" customHeight="1">
      <c r="A210" s="15"/>
      <c r="B210" s="15"/>
      <c r="C210" s="36"/>
      <c r="D210" s="128"/>
      <c r="E210" s="128"/>
      <c r="F210" s="128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25.5" customHeight="1">
      <c r="A211" s="15"/>
      <c r="B211" s="15"/>
      <c r="C211" s="133"/>
      <c r="D211" s="128"/>
      <c r="E211" s="128"/>
      <c r="F211" s="128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25.5" customHeight="1">
      <c r="A212" s="15"/>
      <c r="B212" s="15"/>
      <c r="C212" s="15"/>
      <c r="D212" s="128"/>
      <c r="E212" s="128"/>
      <c r="F212" s="128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0" customHeight="1">
      <c r="A213" s="15"/>
      <c r="B213" s="15"/>
      <c r="C213" s="15"/>
      <c r="D213" s="128"/>
      <c r="E213" s="128"/>
      <c r="F213" s="128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0" customHeight="1">
      <c r="A214" s="15"/>
      <c r="B214" s="15"/>
      <c r="C214" s="15"/>
      <c r="D214" s="128"/>
      <c r="E214" s="128"/>
      <c r="F214" s="128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0" customHeight="1">
      <c r="A215" s="15"/>
      <c r="B215" s="15"/>
      <c r="C215" s="15"/>
      <c r="D215" s="128"/>
      <c r="E215" s="128"/>
      <c r="F215" s="128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0" customHeight="1">
      <c r="A216" s="15"/>
      <c r="B216" s="15"/>
      <c r="C216" s="15"/>
      <c r="D216" s="128"/>
      <c r="E216" s="128"/>
      <c r="F216" s="128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0" customHeight="1">
      <c r="A217" s="15"/>
      <c r="B217" s="15"/>
      <c r="C217" s="15"/>
      <c r="D217" s="128"/>
      <c r="E217" s="128"/>
      <c r="F217" s="128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5"/>
      <c r="B218" s="133"/>
      <c r="C218" s="133"/>
      <c r="D218" s="128"/>
      <c r="E218" s="128"/>
      <c r="F218" s="128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5"/>
      <c r="B219" s="15"/>
      <c r="C219" s="15"/>
      <c r="D219" s="128"/>
      <c r="E219" s="128"/>
      <c r="F219" s="128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5"/>
      <c r="B220" s="15"/>
      <c r="C220" s="15"/>
      <c r="D220" s="128"/>
      <c r="E220" s="128"/>
      <c r="F220" s="128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5"/>
      <c r="B221" s="15"/>
      <c r="C221" s="15"/>
      <c r="D221" s="128"/>
      <c r="E221" s="128"/>
      <c r="F221" s="128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5"/>
      <c r="B222" s="15"/>
      <c r="C222" s="15"/>
      <c r="D222" s="128"/>
      <c r="E222" s="119"/>
      <c r="F222" s="128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5"/>
      <c r="B223" s="15"/>
      <c r="C223" s="15"/>
      <c r="D223" s="128"/>
      <c r="E223" s="119"/>
      <c r="F223" s="128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5"/>
      <c r="B224" s="15"/>
      <c r="C224" s="15"/>
      <c r="D224" s="128"/>
      <c r="E224" s="119"/>
      <c r="F224" s="128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5"/>
      <c r="B225" s="15"/>
      <c r="C225" s="15"/>
      <c r="D225" s="128"/>
      <c r="E225" s="119"/>
      <c r="F225" s="128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5"/>
      <c r="B226" s="15"/>
      <c r="C226" s="15"/>
      <c r="D226" s="128"/>
      <c r="E226" s="119"/>
      <c r="F226" s="128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5"/>
      <c r="B227" s="15"/>
      <c r="C227" s="15"/>
      <c r="D227" s="128"/>
      <c r="E227" s="119"/>
      <c r="F227" s="128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5"/>
      <c r="B228" s="15"/>
      <c r="C228" s="15"/>
      <c r="D228" s="128"/>
      <c r="E228" s="119"/>
      <c r="F228" s="128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5"/>
      <c r="B229" s="15"/>
      <c r="C229" s="15"/>
      <c r="D229" s="128"/>
      <c r="E229" s="119"/>
      <c r="F229" s="128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5"/>
      <c r="B230" s="15"/>
      <c r="C230" s="15"/>
      <c r="D230" s="128"/>
      <c r="E230" s="119"/>
      <c r="F230" s="128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5"/>
      <c r="B231" s="15"/>
      <c r="C231" s="15"/>
      <c r="D231" s="128"/>
      <c r="E231" s="119"/>
      <c r="F231" s="128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5"/>
      <c r="B232" s="15"/>
      <c r="C232" s="15"/>
      <c r="D232" s="128"/>
      <c r="E232" s="119"/>
      <c r="F232" s="128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5"/>
      <c r="B233" s="15"/>
      <c r="C233" s="15"/>
      <c r="D233" s="128"/>
      <c r="E233" s="119"/>
      <c r="F233" s="128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5"/>
      <c r="B234" s="15"/>
      <c r="C234" s="15"/>
      <c r="D234" s="128"/>
      <c r="E234" s="119"/>
      <c r="F234" s="128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5"/>
      <c r="B235" s="15"/>
      <c r="C235" s="15"/>
      <c r="D235" s="128"/>
      <c r="E235" s="119"/>
      <c r="F235" s="128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5"/>
      <c r="B236" s="15"/>
      <c r="C236" s="15"/>
      <c r="D236" s="128"/>
      <c r="E236" s="119"/>
      <c r="F236" s="128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5"/>
      <c r="B237" s="15"/>
      <c r="C237" s="15"/>
      <c r="D237" s="128"/>
      <c r="E237" s="119"/>
      <c r="F237" s="128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5"/>
      <c r="B238" s="15"/>
      <c r="C238" s="15"/>
      <c r="D238" s="128"/>
      <c r="E238" s="119"/>
      <c r="F238" s="128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5"/>
      <c r="B239" s="15"/>
      <c r="C239" s="15"/>
      <c r="D239" s="128"/>
      <c r="E239" s="119"/>
      <c r="F239" s="128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5"/>
      <c r="B240" s="15"/>
      <c r="C240" s="15"/>
      <c r="D240" s="128"/>
      <c r="E240" s="119"/>
      <c r="F240" s="128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5"/>
      <c r="B241" s="15"/>
      <c r="C241" s="15"/>
      <c r="D241" s="128"/>
      <c r="E241" s="119"/>
      <c r="F241" s="128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5"/>
      <c r="B242" s="15"/>
      <c r="C242" s="15"/>
      <c r="D242" s="128"/>
      <c r="E242" s="119"/>
      <c r="F242" s="128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5"/>
      <c r="B243" s="15"/>
      <c r="C243" s="15"/>
      <c r="D243" s="128"/>
      <c r="E243" s="119"/>
      <c r="F243" s="128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5"/>
      <c r="B244" s="15"/>
      <c r="C244" s="15"/>
      <c r="D244" s="128"/>
      <c r="E244" s="119"/>
      <c r="F244" s="128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5"/>
      <c r="B245" s="15"/>
      <c r="C245" s="15"/>
      <c r="D245" s="128"/>
      <c r="E245" s="119"/>
      <c r="F245" s="128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5"/>
      <c r="B246" s="15"/>
      <c r="C246" s="15"/>
      <c r="D246" s="128"/>
      <c r="E246" s="119"/>
      <c r="F246" s="128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5"/>
      <c r="B247" s="15"/>
      <c r="C247" s="15"/>
      <c r="D247" s="128"/>
      <c r="E247" s="128"/>
      <c r="F247" s="128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5"/>
      <c r="B248" s="15"/>
      <c r="C248" s="36"/>
      <c r="D248" s="128"/>
      <c r="E248" s="128"/>
      <c r="F248" s="128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25.5" customHeight="1">
      <c r="A249" s="15"/>
      <c r="B249" s="15"/>
      <c r="C249" s="133"/>
      <c r="D249" s="128"/>
      <c r="E249" s="128"/>
      <c r="F249" s="128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0" customHeight="1">
      <c r="A250" s="15"/>
      <c r="B250" s="15"/>
      <c r="C250" s="15"/>
      <c r="D250" s="128"/>
      <c r="E250" s="128"/>
      <c r="F250" s="128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0" customHeight="1">
      <c r="A251" s="15"/>
      <c r="B251" s="15"/>
      <c r="C251" s="15"/>
      <c r="D251" s="128"/>
      <c r="E251" s="128"/>
      <c r="F251" s="128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0" customHeight="1">
      <c r="A252" s="15"/>
      <c r="B252" s="15"/>
      <c r="C252" s="15"/>
      <c r="D252" s="128"/>
      <c r="E252" s="128"/>
      <c r="F252" s="128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0" customHeight="1">
      <c r="A253" s="15"/>
      <c r="B253" s="15"/>
      <c r="C253" s="15"/>
      <c r="D253" s="128"/>
      <c r="E253" s="128"/>
      <c r="F253" s="128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0" customHeight="1">
      <c r="A254" s="15"/>
      <c r="B254" s="15"/>
      <c r="C254" s="15"/>
      <c r="D254" s="128"/>
      <c r="E254" s="128"/>
      <c r="F254" s="128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25.5" customHeight="1">
      <c r="A255" s="15"/>
      <c r="B255" s="15"/>
      <c r="C255" s="15"/>
      <c r="D255" s="128"/>
      <c r="E255" s="128"/>
      <c r="F255" s="128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0" customHeight="1">
      <c r="A256" s="15"/>
      <c r="B256" s="15"/>
      <c r="C256" s="15"/>
      <c r="D256" s="128"/>
      <c r="E256" s="128"/>
      <c r="F256" s="128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0" customHeight="1">
      <c r="A257" s="15"/>
      <c r="B257" s="15"/>
      <c r="C257" s="15"/>
      <c r="D257" s="128"/>
      <c r="E257" s="128"/>
      <c r="F257" s="128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0" customHeight="1">
      <c r="A258" s="15"/>
      <c r="B258" s="15"/>
      <c r="C258" s="36"/>
      <c r="D258" s="128"/>
      <c r="E258" s="128"/>
      <c r="F258" s="128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25.5" customHeight="1">
      <c r="A259" s="15"/>
      <c r="B259" s="15"/>
      <c r="C259" s="133"/>
      <c r="D259" s="128"/>
      <c r="E259" s="128"/>
      <c r="F259" s="128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25.5" customHeight="1">
      <c r="A260" s="15"/>
      <c r="B260" s="15"/>
      <c r="C260" s="15"/>
      <c r="D260" s="128"/>
      <c r="E260" s="128"/>
      <c r="F260" s="128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0" customHeight="1">
      <c r="A261" s="15"/>
      <c r="B261" s="15"/>
      <c r="C261" s="15"/>
      <c r="D261" s="128"/>
      <c r="E261" s="128"/>
      <c r="F261" s="128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0" customHeight="1">
      <c r="A262" s="15"/>
      <c r="B262" s="15"/>
      <c r="C262" s="15"/>
      <c r="D262" s="128"/>
      <c r="E262" s="128"/>
      <c r="F262" s="128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0" customHeight="1">
      <c r="A263" s="15"/>
      <c r="B263" s="15"/>
      <c r="C263" s="15"/>
      <c r="D263" s="128"/>
      <c r="E263" s="128"/>
      <c r="F263" s="128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0" customHeight="1">
      <c r="A264" s="15"/>
      <c r="B264" s="15"/>
      <c r="C264" s="15"/>
      <c r="D264" s="128"/>
      <c r="E264" s="128"/>
      <c r="F264" s="128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0" customHeight="1">
      <c r="A265" s="15"/>
      <c r="B265" s="15"/>
      <c r="C265" s="15"/>
      <c r="D265" s="128"/>
      <c r="E265" s="128"/>
      <c r="F265" s="128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25.5" customHeight="1">
      <c r="A266" s="133"/>
      <c r="B266" s="133"/>
      <c r="C266" s="133"/>
      <c r="D266" s="128"/>
      <c r="E266" s="119"/>
      <c r="F266" s="128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5"/>
      <c r="B267" s="15"/>
      <c r="C267" s="15"/>
      <c r="D267" s="128"/>
      <c r="E267" s="119"/>
      <c r="F267" s="128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0" customHeight="1">
      <c r="A268" s="15"/>
      <c r="B268" s="15"/>
      <c r="C268" s="15"/>
      <c r="D268" s="128"/>
      <c r="E268" s="119"/>
      <c r="F268" s="128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0" customHeight="1">
      <c r="A269" s="15"/>
      <c r="B269" s="15"/>
      <c r="C269" s="36"/>
      <c r="D269" s="128"/>
      <c r="E269" s="119"/>
      <c r="F269" s="128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0" customHeight="1">
      <c r="A270" s="15"/>
      <c r="B270" s="15"/>
      <c r="C270" s="133"/>
      <c r="D270" s="128"/>
      <c r="E270" s="119"/>
      <c r="F270" s="128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0" customHeight="1">
      <c r="A271" s="15"/>
      <c r="B271" s="15"/>
      <c r="C271" s="15"/>
      <c r="D271" s="128"/>
      <c r="E271" s="119"/>
      <c r="F271" s="128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0" customHeight="1">
      <c r="A272" s="15"/>
      <c r="B272" s="15"/>
      <c r="C272" s="15"/>
      <c r="D272" s="128"/>
      <c r="E272" s="119"/>
      <c r="F272" s="128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0" customHeight="1">
      <c r="A273" s="15"/>
      <c r="B273" s="15"/>
      <c r="C273" s="15"/>
      <c r="D273" s="128"/>
      <c r="E273" s="119"/>
      <c r="F273" s="128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0" customHeight="1">
      <c r="A274" s="15"/>
      <c r="B274" s="15"/>
      <c r="C274" s="15"/>
      <c r="D274" s="128"/>
      <c r="E274" s="119"/>
      <c r="F274" s="128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0" customHeight="1">
      <c r="A275" s="15"/>
      <c r="B275" s="15"/>
      <c r="C275" s="15"/>
      <c r="D275" s="128"/>
      <c r="E275" s="119"/>
      <c r="F275" s="128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0" customHeight="1">
      <c r="A276" s="15"/>
      <c r="B276" s="15"/>
      <c r="C276" s="15"/>
      <c r="D276" s="128"/>
      <c r="E276" s="119"/>
      <c r="F276" s="128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0" customHeight="1">
      <c r="A277" s="15"/>
      <c r="B277" s="15"/>
      <c r="C277" s="36"/>
      <c r="D277" s="128"/>
      <c r="E277" s="119"/>
      <c r="F277" s="128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0" customHeight="1">
      <c r="A278" s="15"/>
      <c r="B278" s="15"/>
      <c r="C278" s="133"/>
      <c r="D278" s="128"/>
      <c r="E278" s="119"/>
      <c r="F278" s="128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0" customHeight="1">
      <c r="A279" s="15"/>
      <c r="B279" s="15"/>
      <c r="C279" s="15"/>
      <c r="D279" s="128"/>
      <c r="E279" s="119"/>
      <c r="F279" s="128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0" customHeight="1">
      <c r="A280" s="15"/>
      <c r="B280" s="15"/>
      <c r="C280" s="15"/>
      <c r="D280" s="128"/>
      <c r="E280" s="119"/>
      <c r="F280" s="128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0" customHeight="1">
      <c r="A281" s="15"/>
      <c r="B281" s="15"/>
      <c r="C281" s="15"/>
      <c r="D281" s="128"/>
      <c r="E281" s="119"/>
      <c r="F281" s="128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0" customHeight="1">
      <c r="A282" s="15"/>
      <c r="B282" s="15"/>
      <c r="C282" s="36"/>
      <c r="D282" s="128"/>
      <c r="E282" s="119"/>
      <c r="F282" s="128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0" customHeight="1">
      <c r="A283" s="15"/>
      <c r="B283" s="15"/>
      <c r="C283" s="133"/>
      <c r="D283" s="128"/>
      <c r="E283" s="119"/>
      <c r="F283" s="128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0" customHeight="1">
      <c r="A284" s="15"/>
      <c r="B284" s="15"/>
      <c r="C284" s="15"/>
      <c r="D284" s="128"/>
      <c r="E284" s="119"/>
      <c r="F284" s="128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0" customHeight="1">
      <c r="A285" s="15"/>
      <c r="B285" s="15"/>
      <c r="C285" s="15"/>
      <c r="D285" s="128"/>
      <c r="E285" s="119"/>
      <c r="F285" s="128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0" customHeight="1">
      <c r="A286" s="15"/>
      <c r="B286" s="15"/>
      <c r="C286" s="36"/>
      <c r="D286" s="128"/>
      <c r="E286" s="119"/>
      <c r="F286" s="128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0" customHeight="1">
      <c r="A287" s="15"/>
      <c r="B287" s="15"/>
      <c r="C287" s="133"/>
      <c r="D287" s="128"/>
      <c r="E287" s="119"/>
      <c r="F287" s="128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0" customHeight="1">
      <c r="A288" s="15"/>
      <c r="B288" s="15"/>
      <c r="C288" s="15"/>
      <c r="D288" s="128"/>
      <c r="E288" s="119"/>
      <c r="F288" s="128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0" customHeight="1">
      <c r="A289" s="15"/>
      <c r="B289" s="15"/>
      <c r="C289" s="36"/>
      <c r="D289" s="128"/>
      <c r="E289" s="119"/>
      <c r="F289" s="128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0" customHeight="1">
      <c r="A290" s="15"/>
      <c r="B290" s="15"/>
      <c r="C290" s="133"/>
      <c r="D290" s="128"/>
      <c r="E290" s="119"/>
      <c r="F290" s="128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0" customHeight="1">
      <c r="A291" s="15"/>
      <c r="B291" s="36"/>
      <c r="C291" s="36"/>
      <c r="D291" s="128"/>
      <c r="E291" s="119"/>
      <c r="F291" s="128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25.5" customHeight="1">
      <c r="A292" s="15"/>
      <c r="B292" s="133"/>
      <c r="C292" s="133"/>
      <c r="D292" s="128"/>
      <c r="E292" s="128"/>
      <c r="F292" s="128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5"/>
      <c r="B293" s="15"/>
      <c r="C293" s="15"/>
      <c r="D293" s="128"/>
      <c r="E293" s="128"/>
      <c r="F293" s="128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0" customHeight="1">
      <c r="A294" s="15"/>
      <c r="B294" s="15"/>
      <c r="C294" s="15"/>
      <c r="D294" s="128"/>
      <c r="E294" s="128"/>
      <c r="F294" s="128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0" customHeight="1">
      <c r="A295" s="15"/>
      <c r="B295" s="15"/>
      <c r="C295" s="15"/>
      <c r="D295" s="128"/>
      <c r="E295" s="128"/>
      <c r="F295" s="128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0" customHeight="1">
      <c r="A296" s="15"/>
      <c r="B296" s="15"/>
      <c r="C296" s="36"/>
      <c r="D296" s="128"/>
      <c r="E296" s="128"/>
      <c r="F296" s="128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0" customHeight="1">
      <c r="A297" s="15"/>
      <c r="B297" s="15"/>
      <c r="C297" s="133"/>
      <c r="D297" s="128"/>
      <c r="E297" s="128"/>
      <c r="F297" s="13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0" customHeight="1">
      <c r="A298" s="15"/>
      <c r="B298" s="15"/>
      <c r="C298" s="15"/>
      <c r="D298" s="128"/>
      <c r="E298" s="128"/>
      <c r="F298" s="15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0" customHeight="1">
      <c r="A299" s="15"/>
      <c r="B299" s="15"/>
      <c r="C299" s="15"/>
      <c r="D299" s="128"/>
      <c r="E299" s="128"/>
      <c r="F299" s="15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0" customHeight="1">
      <c r="A300" s="15"/>
      <c r="B300" s="15"/>
      <c r="C300" s="15"/>
      <c r="D300" s="128"/>
      <c r="E300" s="128"/>
      <c r="F300" s="15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0" customHeight="1">
      <c r="A301" s="15"/>
      <c r="B301" s="15"/>
      <c r="C301" s="15"/>
      <c r="D301" s="128"/>
      <c r="E301" s="128"/>
      <c r="F301" s="15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0" customHeight="1">
      <c r="A302" s="15"/>
      <c r="B302" s="15"/>
      <c r="C302" s="36"/>
      <c r="D302" s="128"/>
      <c r="E302" s="128"/>
      <c r="F302" s="36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5"/>
      <c r="B303" s="15"/>
      <c r="C303" s="119"/>
      <c r="D303" s="128"/>
      <c r="E303" s="128"/>
      <c r="F303" s="128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0" customHeight="1">
      <c r="A304" s="15"/>
      <c r="B304" s="15"/>
      <c r="C304" s="133"/>
      <c r="D304" s="128"/>
      <c r="E304" s="128"/>
      <c r="F304" s="128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0" customHeight="1">
      <c r="A305" s="15"/>
      <c r="B305" s="15"/>
      <c r="C305" s="36"/>
      <c r="D305" s="128"/>
      <c r="E305" s="128"/>
      <c r="F305" s="128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25.5" customHeight="1">
      <c r="A306" s="15"/>
      <c r="B306" s="15"/>
      <c r="C306" s="133"/>
      <c r="D306" s="155"/>
      <c r="E306" s="128"/>
      <c r="F306" s="128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25.5" customHeight="1">
      <c r="A307" s="15"/>
      <c r="B307" s="15"/>
      <c r="C307" s="15"/>
      <c r="D307" s="155"/>
      <c r="E307" s="128"/>
      <c r="F307" s="128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25.5" customHeight="1">
      <c r="A308" s="15"/>
      <c r="B308" s="15"/>
      <c r="C308" s="36"/>
      <c r="D308" s="128"/>
      <c r="E308" s="128"/>
      <c r="F308" s="128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25.5" customHeight="1">
      <c r="A309" s="15"/>
      <c r="B309" s="15"/>
      <c r="C309" s="133"/>
      <c r="D309" s="155"/>
      <c r="E309" s="128"/>
      <c r="F309" s="128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25.5" customHeight="1">
      <c r="A310" s="15"/>
      <c r="B310" s="15"/>
      <c r="C310" s="15"/>
      <c r="D310" s="155"/>
      <c r="E310" s="128"/>
      <c r="F310" s="128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25.5" customHeight="1">
      <c r="A311" s="15"/>
      <c r="B311" s="15"/>
      <c r="C311" s="36"/>
      <c r="D311" s="128"/>
      <c r="E311" s="128"/>
      <c r="F311" s="128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25.5" customHeight="1">
      <c r="A312" s="15"/>
      <c r="B312" s="15"/>
      <c r="C312" s="133"/>
      <c r="D312" s="128"/>
      <c r="E312" s="128"/>
      <c r="F312" s="128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0" customHeight="1">
      <c r="A313" s="15"/>
      <c r="B313" s="15"/>
      <c r="C313" s="15"/>
      <c r="D313" s="128"/>
      <c r="E313" s="128"/>
      <c r="F313" s="128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0" customHeight="1">
      <c r="A314" s="15"/>
      <c r="B314" s="15"/>
      <c r="C314" s="15"/>
      <c r="D314" s="128"/>
      <c r="E314" s="128"/>
      <c r="F314" s="128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0" customHeight="1">
      <c r="A315" s="15"/>
      <c r="B315" s="15"/>
      <c r="C315" s="36"/>
      <c r="D315" s="128"/>
      <c r="E315" s="128"/>
      <c r="F315" s="128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0" customHeight="1">
      <c r="A316" s="15"/>
      <c r="B316" s="15"/>
      <c r="C316" s="119"/>
      <c r="D316" s="128"/>
      <c r="E316" s="128"/>
      <c r="F316" s="128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0" customHeight="1">
      <c r="A317" s="15"/>
      <c r="B317" s="15"/>
      <c r="C317" s="119"/>
      <c r="D317" s="128"/>
      <c r="E317" s="128"/>
      <c r="F317" s="128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0" customHeight="1">
      <c r="A318" s="15"/>
      <c r="B318" s="15"/>
      <c r="C318" s="133"/>
      <c r="D318" s="128"/>
      <c r="E318" s="128"/>
      <c r="F318" s="128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0" customHeight="1">
      <c r="A319" s="15"/>
      <c r="B319" s="15"/>
      <c r="C319" s="15"/>
      <c r="D319" s="128"/>
      <c r="E319" s="128"/>
      <c r="F319" s="128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0" customHeight="1">
      <c r="A320" s="15"/>
      <c r="B320" s="15"/>
      <c r="C320" s="15"/>
      <c r="D320" s="128"/>
      <c r="E320" s="128"/>
      <c r="F320" s="128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0" customHeight="1">
      <c r="A321" s="15"/>
      <c r="B321" s="15"/>
      <c r="C321" s="15"/>
      <c r="D321" s="128"/>
      <c r="E321" s="128"/>
      <c r="F321" s="128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0" customHeight="1">
      <c r="A322" s="15"/>
      <c r="B322" s="15"/>
      <c r="C322" s="36"/>
      <c r="D322" s="128"/>
      <c r="E322" s="128"/>
      <c r="F322" s="128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0" customHeight="1">
      <c r="A323" s="15"/>
      <c r="B323" s="15"/>
      <c r="C323" s="133"/>
      <c r="D323" s="128"/>
      <c r="E323" s="128"/>
      <c r="F323" s="128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0" customHeight="1">
      <c r="A324" s="15"/>
      <c r="B324" s="15"/>
      <c r="C324" s="15"/>
      <c r="D324" s="128"/>
      <c r="E324" s="128"/>
      <c r="F324" s="128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0" customHeight="1">
      <c r="A325" s="15"/>
      <c r="B325" s="15"/>
      <c r="C325" s="15"/>
      <c r="D325" s="128"/>
      <c r="E325" s="128"/>
      <c r="F325" s="128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0" customHeight="1">
      <c r="A326" s="15"/>
      <c r="B326" s="15"/>
      <c r="C326" s="15"/>
      <c r="D326" s="128"/>
      <c r="E326" s="128"/>
      <c r="F326" s="128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0" customHeight="1">
      <c r="A327" s="15"/>
      <c r="B327" s="15"/>
      <c r="C327" s="15"/>
      <c r="D327" s="128"/>
      <c r="E327" s="128"/>
      <c r="F327" s="128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25.5" customHeight="1">
      <c r="A328" s="15"/>
      <c r="B328" s="15"/>
      <c r="C328" s="15"/>
      <c r="D328" s="128"/>
      <c r="E328" s="128"/>
      <c r="F328" s="128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25.5" customHeight="1">
      <c r="A329" s="15"/>
      <c r="B329" s="15"/>
      <c r="C329" s="36"/>
      <c r="D329" s="128"/>
      <c r="E329" s="128"/>
      <c r="F329" s="128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0" customHeight="1">
      <c r="A330" s="15"/>
      <c r="B330" s="15"/>
      <c r="C330" s="133"/>
      <c r="D330" s="128"/>
      <c r="E330" s="128"/>
      <c r="F330" s="128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0" customHeight="1">
      <c r="A331" s="15"/>
      <c r="B331" s="15"/>
      <c r="C331" s="36"/>
      <c r="D331" s="128"/>
      <c r="E331" s="128"/>
      <c r="F331" s="128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0" customHeight="1">
      <c r="A332" s="15"/>
      <c r="B332" s="15"/>
      <c r="C332" s="133"/>
      <c r="D332" s="128"/>
      <c r="E332" s="128"/>
      <c r="F332" s="128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0" customHeight="1">
      <c r="A333" s="15"/>
      <c r="B333" s="15"/>
      <c r="C333" s="15"/>
      <c r="D333" s="128"/>
      <c r="E333" s="128"/>
      <c r="F333" s="128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0" customHeight="1">
      <c r="A334" s="15"/>
      <c r="B334" s="15"/>
      <c r="C334" s="15"/>
      <c r="D334" s="128"/>
      <c r="E334" s="128"/>
      <c r="F334" s="128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0" customHeight="1">
      <c r="A335" s="15"/>
      <c r="B335" s="15"/>
      <c r="C335" s="15"/>
      <c r="D335" s="128"/>
      <c r="E335" s="128"/>
      <c r="F335" s="128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0" customHeight="1">
      <c r="A336" s="15"/>
      <c r="B336" s="15"/>
      <c r="C336" s="36"/>
      <c r="D336" s="128"/>
      <c r="E336" s="128"/>
      <c r="F336" s="128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0" customHeight="1">
      <c r="A337" s="15"/>
      <c r="B337" s="15"/>
      <c r="C337" s="133"/>
      <c r="D337" s="128"/>
      <c r="E337" s="128"/>
      <c r="F337" s="128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0" customHeight="1">
      <c r="A338" s="15"/>
      <c r="B338" s="15"/>
      <c r="C338" s="15"/>
      <c r="D338" s="128"/>
      <c r="E338" s="128"/>
      <c r="F338" s="128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0" customHeight="1">
      <c r="A339" s="15"/>
      <c r="B339" s="36"/>
      <c r="C339" s="36"/>
      <c r="D339" s="128"/>
      <c r="E339" s="128"/>
      <c r="F339" s="128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0" customHeight="1">
      <c r="A340" s="15"/>
      <c r="B340" s="133"/>
      <c r="C340" s="133"/>
      <c r="D340" s="128"/>
      <c r="E340" s="128"/>
      <c r="F340" s="128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0" customHeight="1">
      <c r="A341" s="15"/>
      <c r="B341" s="15"/>
      <c r="C341" s="15"/>
      <c r="D341" s="128"/>
      <c r="E341" s="128"/>
      <c r="F341" s="128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0" customHeight="1">
      <c r="A342" s="15"/>
      <c r="B342" s="15"/>
      <c r="C342" s="15"/>
      <c r="D342" s="128"/>
      <c r="E342" s="128"/>
      <c r="F342" s="128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0" customHeight="1">
      <c r="A343" s="15"/>
      <c r="B343" s="15"/>
      <c r="C343" s="15"/>
      <c r="D343" s="128"/>
      <c r="E343" s="128"/>
      <c r="F343" s="128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0" customHeight="1">
      <c r="A344" s="15"/>
      <c r="B344" s="15"/>
      <c r="C344" s="15"/>
      <c r="D344" s="128"/>
      <c r="E344" s="128"/>
      <c r="F344" s="128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0" customHeight="1">
      <c r="A345" s="15"/>
      <c r="B345" s="15"/>
      <c r="C345" s="15"/>
      <c r="D345" s="128"/>
      <c r="E345" s="128"/>
      <c r="F345" s="128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0" customHeight="1">
      <c r="A346" s="15"/>
      <c r="B346" s="15"/>
      <c r="C346" s="15"/>
      <c r="D346" s="128"/>
      <c r="E346" s="128"/>
      <c r="F346" s="128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0" customHeight="1">
      <c r="A347" s="15"/>
      <c r="B347" s="15"/>
      <c r="C347" s="15"/>
      <c r="D347" s="128"/>
      <c r="E347" s="128"/>
      <c r="F347" s="128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0" customHeight="1">
      <c r="A348" s="15"/>
      <c r="B348" s="15"/>
      <c r="C348" s="36"/>
      <c r="D348" s="128"/>
      <c r="E348" s="128"/>
      <c r="F348" s="128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0" customHeight="1">
      <c r="A349" s="15"/>
      <c r="B349" s="15"/>
      <c r="C349" s="133"/>
      <c r="D349" s="128"/>
      <c r="E349" s="128"/>
      <c r="F349" s="128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0" customHeight="1">
      <c r="A350" s="15"/>
      <c r="B350" s="15"/>
      <c r="C350" s="15"/>
      <c r="D350" s="128"/>
      <c r="E350" s="119"/>
      <c r="F350" s="128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0" customHeight="1">
      <c r="A351" s="15"/>
      <c r="B351" s="15"/>
      <c r="C351" s="15"/>
      <c r="D351" s="128"/>
      <c r="E351" s="119"/>
      <c r="F351" s="128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0" customHeight="1">
      <c r="A352" s="15"/>
      <c r="B352" s="15"/>
      <c r="C352" s="15"/>
      <c r="D352" s="128"/>
      <c r="E352" s="119"/>
      <c r="F352" s="128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0" customHeight="1">
      <c r="A353" s="15"/>
      <c r="B353" s="15"/>
      <c r="C353" s="15"/>
      <c r="D353" s="128"/>
      <c r="E353" s="119"/>
      <c r="F353" s="128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0" customHeight="1">
      <c r="A354" s="15"/>
      <c r="B354" s="15"/>
      <c r="C354" s="15"/>
      <c r="D354" s="128"/>
      <c r="E354" s="119"/>
      <c r="F354" s="128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0" customHeight="1">
      <c r="A355" s="15"/>
      <c r="B355" s="15"/>
      <c r="C355" s="15"/>
      <c r="D355" s="128"/>
      <c r="E355" s="119"/>
      <c r="F355" s="128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0" customHeight="1">
      <c r="A356" s="15"/>
      <c r="B356" s="15"/>
      <c r="C356" s="15"/>
      <c r="D356" s="128"/>
      <c r="E356" s="119"/>
      <c r="F356" s="128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0" customHeight="1">
      <c r="A357" s="15"/>
      <c r="B357" s="15"/>
      <c r="C357" s="15"/>
      <c r="D357" s="128"/>
      <c r="E357" s="119"/>
      <c r="F357" s="128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0" customHeight="1">
      <c r="A358" s="15"/>
      <c r="B358" s="15"/>
      <c r="C358" s="15"/>
      <c r="D358" s="128"/>
      <c r="E358" s="128"/>
      <c r="F358" s="128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0" customHeight="1">
      <c r="A359" s="15"/>
      <c r="B359" s="15"/>
      <c r="C359" s="15"/>
      <c r="D359" s="128"/>
      <c r="E359" s="128"/>
      <c r="F359" s="128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0" customHeight="1">
      <c r="A360" s="15"/>
      <c r="B360" s="15"/>
      <c r="C360" s="36"/>
      <c r="D360" s="128"/>
      <c r="E360" s="128"/>
      <c r="F360" s="128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5"/>
      <c r="B361" s="15"/>
      <c r="C361" s="133"/>
      <c r="D361" s="128"/>
      <c r="E361" s="128"/>
      <c r="F361" s="128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5"/>
      <c r="B362" s="15"/>
      <c r="C362" s="15"/>
      <c r="D362" s="128"/>
      <c r="E362" s="128"/>
      <c r="F362" s="13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0" customHeight="1">
      <c r="A363" s="15"/>
      <c r="B363" s="15"/>
      <c r="C363" s="15"/>
      <c r="D363" s="128"/>
      <c r="E363" s="119"/>
      <c r="F363" s="15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0" customHeight="1">
      <c r="A364" s="15"/>
      <c r="B364" s="15"/>
      <c r="C364" s="15"/>
      <c r="D364" s="128"/>
      <c r="E364" s="119"/>
      <c r="F364" s="15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0" customHeight="1">
      <c r="A365" s="15"/>
      <c r="B365" s="15"/>
      <c r="C365" s="15"/>
      <c r="D365" s="128"/>
      <c r="E365" s="119"/>
      <c r="F365" s="15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0" customHeight="1">
      <c r="A366" s="15"/>
      <c r="B366" s="15"/>
      <c r="C366" s="15"/>
      <c r="D366" s="128"/>
      <c r="E366" s="119"/>
      <c r="F366" s="36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0" customHeight="1">
      <c r="A367" s="15"/>
      <c r="B367" s="15"/>
      <c r="C367" s="15"/>
      <c r="D367" s="128"/>
      <c r="E367" s="128"/>
      <c r="F367" s="128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0" customHeight="1">
      <c r="A368" s="15"/>
      <c r="B368" s="15"/>
      <c r="C368" s="15"/>
      <c r="D368" s="128"/>
      <c r="E368" s="128"/>
      <c r="F368" s="128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0" customHeight="1">
      <c r="A369" s="15"/>
      <c r="B369" s="15"/>
      <c r="C369" s="36"/>
      <c r="D369" s="128"/>
      <c r="E369" s="128"/>
      <c r="F369" s="128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0" customHeight="1">
      <c r="A370" s="15"/>
      <c r="B370" s="15"/>
      <c r="C370" s="133"/>
      <c r="D370" s="128"/>
      <c r="E370" s="128"/>
      <c r="F370" s="128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0" customHeight="1">
      <c r="A371" s="15"/>
      <c r="B371" s="15"/>
      <c r="C371" s="15"/>
      <c r="D371" s="128"/>
      <c r="E371" s="128"/>
      <c r="F371" s="128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0" customHeight="1">
      <c r="A372" s="15"/>
      <c r="B372" s="36"/>
      <c r="C372" s="36"/>
      <c r="D372" s="128"/>
      <c r="E372" s="128"/>
      <c r="F372" s="128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0" customHeight="1">
      <c r="A373" s="15"/>
      <c r="B373" s="133"/>
      <c r="C373" s="133"/>
      <c r="D373" s="128"/>
      <c r="E373" s="128"/>
      <c r="F373" s="128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0" customHeight="1">
      <c r="A374" s="15"/>
      <c r="B374" s="15"/>
      <c r="C374" s="15"/>
      <c r="D374" s="128"/>
      <c r="E374" s="128"/>
      <c r="F374" s="128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0" customHeight="1">
      <c r="A375" s="15"/>
      <c r="B375" s="15"/>
      <c r="C375" s="15"/>
      <c r="D375" s="128"/>
      <c r="E375" s="128"/>
      <c r="F375" s="128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0" customHeight="1">
      <c r="A376" s="15"/>
      <c r="B376" s="15"/>
      <c r="C376" s="15"/>
      <c r="D376" s="128"/>
      <c r="E376" s="128"/>
      <c r="F376" s="128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0" customHeight="1">
      <c r="A377" s="15"/>
      <c r="B377" s="36"/>
      <c r="C377" s="36"/>
      <c r="D377" s="128"/>
      <c r="E377" s="128"/>
      <c r="F377" s="128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25.5" customHeight="1">
      <c r="A378" s="15"/>
      <c r="B378" s="133"/>
      <c r="C378" s="133"/>
      <c r="D378" s="128"/>
      <c r="E378" s="119"/>
      <c r="F378" s="128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5"/>
      <c r="B379" s="15"/>
      <c r="C379" s="15"/>
      <c r="D379" s="128"/>
      <c r="E379" s="119"/>
      <c r="F379" s="128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0" customHeight="1">
      <c r="A380" s="15"/>
      <c r="B380" s="15"/>
      <c r="C380" s="15"/>
      <c r="D380" s="128"/>
      <c r="E380" s="119"/>
      <c r="F380" s="128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0" customHeight="1">
      <c r="A381" s="15"/>
      <c r="B381" s="15"/>
      <c r="C381" s="36"/>
      <c r="D381" s="128"/>
      <c r="E381" s="119"/>
      <c r="F381" s="128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0" customHeight="1">
      <c r="A382" s="15"/>
      <c r="B382" s="15"/>
      <c r="C382" s="133"/>
      <c r="D382" s="128"/>
      <c r="E382" s="119"/>
      <c r="F382" s="128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0" customHeight="1">
      <c r="A383" s="15"/>
      <c r="B383" s="15"/>
      <c r="C383" s="15"/>
      <c r="D383" s="128"/>
      <c r="E383" s="119"/>
      <c r="F383" s="128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0" customHeight="1">
      <c r="A384" s="15"/>
      <c r="B384" s="15"/>
      <c r="C384" s="15"/>
      <c r="D384" s="128"/>
      <c r="E384" s="119"/>
      <c r="F384" s="128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0" customHeight="1">
      <c r="A385" s="15"/>
      <c r="B385" s="15"/>
      <c r="C385" s="15"/>
      <c r="D385" s="128"/>
      <c r="E385" s="119"/>
      <c r="F385" s="128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0" customHeight="1">
      <c r="A386" s="15"/>
      <c r="B386" s="15"/>
      <c r="C386" s="15"/>
      <c r="D386" s="128"/>
      <c r="E386" s="119"/>
      <c r="F386" s="128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0" customHeight="1">
      <c r="A387" s="15"/>
      <c r="B387" s="15"/>
      <c r="C387" s="15"/>
      <c r="D387" s="128"/>
      <c r="E387" s="119"/>
      <c r="F387" s="128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0" customHeight="1">
      <c r="A388" s="15"/>
      <c r="B388" s="15"/>
      <c r="C388" s="15"/>
      <c r="D388" s="128"/>
      <c r="E388" s="119"/>
      <c r="F388" s="128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0" customHeight="1">
      <c r="A389" s="15"/>
      <c r="B389" s="15"/>
      <c r="C389" s="36"/>
      <c r="D389" s="128"/>
      <c r="E389" s="119"/>
      <c r="F389" s="128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0" customHeight="1">
      <c r="A390" s="15"/>
      <c r="B390" s="15"/>
      <c r="C390" s="133"/>
      <c r="D390" s="128"/>
      <c r="E390" s="119"/>
      <c r="F390" s="128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0" customHeight="1">
      <c r="A391" s="15"/>
      <c r="B391" s="15"/>
      <c r="C391" s="15"/>
      <c r="D391" s="128"/>
      <c r="E391" s="119"/>
      <c r="F391" s="128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0" customHeight="1">
      <c r="A392" s="15"/>
      <c r="B392" s="15"/>
      <c r="C392" s="15"/>
      <c r="D392" s="128"/>
      <c r="E392" s="119"/>
      <c r="F392" s="128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0" customHeight="1">
      <c r="A393" s="15"/>
      <c r="B393" s="15"/>
      <c r="C393" s="15"/>
      <c r="D393" s="128"/>
      <c r="E393" s="119"/>
      <c r="F393" s="128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0" customHeight="1">
      <c r="A394" s="15"/>
      <c r="B394" s="15"/>
      <c r="C394" s="36"/>
      <c r="D394" s="128"/>
      <c r="E394" s="119"/>
      <c r="F394" s="128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0" customHeight="1">
      <c r="A395" s="15"/>
      <c r="B395" s="15"/>
      <c r="C395" s="133"/>
      <c r="D395" s="128"/>
      <c r="E395" s="119"/>
      <c r="F395" s="128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0" customHeight="1">
      <c r="A396" s="15"/>
      <c r="B396" s="15"/>
      <c r="C396" s="15"/>
      <c r="D396" s="128"/>
      <c r="E396" s="119"/>
      <c r="F396" s="128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0" customHeight="1">
      <c r="A397" s="15"/>
      <c r="B397" s="15"/>
      <c r="C397" s="36"/>
      <c r="D397" s="128"/>
      <c r="E397" s="119"/>
      <c r="F397" s="128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0" customHeight="1">
      <c r="A398" s="15"/>
      <c r="B398" s="15"/>
      <c r="C398" s="133"/>
      <c r="D398" s="128"/>
      <c r="E398" s="119"/>
      <c r="F398" s="128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0" customHeight="1">
      <c r="A399" s="15"/>
      <c r="B399" s="15"/>
      <c r="C399" s="15"/>
      <c r="D399" s="128"/>
      <c r="E399" s="119"/>
      <c r="F399" s="128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0" customHeight="1">
      <c r="A400" s="15"/>
      <c r="B400" s="15"/>
      <c r="C400" s="36"/>
      <c r="D400" s="128"/>
      <c r="E400" s="119"/>
      <c r="F400" s="128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25.5" customHeight="1">
      <c r="A401" s="15"/>
      <c r="B401" s="15"/>
      <c r="C401" s="133"/>
      <c r="D401" s="128"/>
      <c r="E401" s="128"/>
      <c r="F401" s="128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0" customHeight="1">
      <c r="A402" s="15"/>
      <c r="B402" s="15"/>
      <c r="C402" s="15"/>
      <c r="D402" s="128"/>
      <c r="E402" s="128"/>
      <c r="F402" s="128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0" customHeight="1">
      <c r="A403" s="15"/>
      <c r="B403" s="15"/>
      <c r="C403" s="15"/>
      <c r="D403" s="128"/>
      <c r="E403" s="128"/>
      <c r="F403" s="128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0" customHeight="1">
      <c r="A404" s="15"/>
      <c r="B404" s="15"/>
      <c r="C404" s="15"/>
      <c r="D404" s="128"/>
      <c r="E404" s="128"/>
      <c r="F404" s="13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5"/>
      <c r="B405" s="15"/>
      <c r="C405" s="15"/>
      <c r="D405" s="128"/>
      <c r="E405" s="128"/>
      <c r="F405" s="128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0" customHeight="1">
      <c r="A406" s="15"/>
      <c r="B406" s="15"/>
      <c r="C406" s="15"/>
      <c r="D406" s="128"/>
      <c r="E406" s="128"/>
      <c r="F406" s="128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0" customHeight="1">
      <c r="A407" s="15"/>
      <c r="B407" s="15"/>
      <c r="C407" s="15"/>
      <c r="D407" s="128"/>
      <c r="E407" s="128"/>
      <c r="F407" s="128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0" customHeight="1">
      <c r="A408" s="15"/>
      <c r="B408" s="15"/>
      <c r="C408" s="15"/>
      <c r="D408" s="128"/>
      <c r="E408" s="128"/>
      <c r="F408" s="128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0" customHeight="1">
      <c r="A409" s="15"/>
      <c r="B409" s="15"/>
      <c r="C409" s="36"/>
      <c r="D409" s="128"/>
      <c r="E409" s="128"/>
      <c r="F409" s="128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25.5" customHeight="1">
      <c r="A410" s="15"/>
      <c r="B410" s="15"/>
      <c r="C410" s="133"/>
      <c r="D410" s="128"/>
      <c r="E410" s="128"/>
      <c r="F410" s="128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25.5" customHeight="1">
      <c r="A411" s="15"/>
      <c r="B411" s="15"/>
      <c r="C411" s="15"/>
      <c r="D411" s="128"/>
      <c r="E411" s="128"/>
      <c r="F411" s="128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0" customHeight="1">
      <c r="A412" s="15"/>
      <c r="B412" s="15"/>
      <c r="C412" s="15"/>
      <c r="D412" s="128"/>
      <c r="E412" s="128"/>
      <c r="F412" s="128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0" customHeight="1">
      <c r="A413" s="15"/>
      <c r="B413" s="15"/>
      <c r="C413" s="15"/>
      <c r="D413" s="128"/>
      <c r="E413" s="128"/>
      <c r="F413" s="128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0" customHeight="1">
      <c r="A414" s="15"/>
      <c r="B414" s="15"/>
      <c r="C414" s="15"/>
      <c r="D414" s="128"/>
      <c r="E414" s="128"/>
      <c r="F414" s="128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0" customHeight="1">
      <c r="A415" s="15"/>
      <c r="B415" s="15"/>
      <c r="C415" s="15"/>
      <c r="D415" s="128"/>
      <c r="E415" s="128"/>
      <c r="F415" s="128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0" customHeight="1">
      <c r="A416" s="15"/>
      <c r="B416" s="15"/>
      <c r="C416" s="36"/>
      <c r="D416" s="128"/>
      <c r="E416" s="128"/>
      <c r="F416" s="128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0" customHeight="1">
      <c r="A417" s="15"/>
      <c r="B417" s="15"/>
      <c r="C417" s="133"/>
      <c r="D417" s="128"/>
      <c r="E417" s="128"/>
      <c r="F417" s="128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0" customHeight="1">
      <c r="A418" s="15"/>
      <c r="B418" s="15"/>
      <c r="C418" s="15"/>
      <c r="D418" s="128"/>
      <c r="E418" s="128"/>
      <c r="F418" s="128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0" customHeight="1">
      <c r="A419" s="36"/>
      <c r="B419" s="36"/>
      <c r="C419" s="36"/>
      <c r="D419" s="128"/>
      <c r="E419" s="128"/>
      <c r="F419" s="128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25.5" customHeight="1">
      <c r="A420" s="133"/>
      <c r="B420" s="133"/>
      <c r="C420" s="133"/>
      <c r="D420" s="128"/>
      <c r="E420" s="119"/>
      <c r="F420" s="128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5"/>
      <c r="B421" s="15"/>
      <c r="C421" s="15"/>
      <c r="D421" s="128"/>
      <c r="E421" s="119"/>
      <c r="F421" s="128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0" customHeight="1">
      <c r="A422" s="15"/>
      <c r="B422" s="15"/>
      <c r="C422" s="15"/>
      <c r="D422" s="128"/>
      <c r="E422" s="119"/>
      <c r="F422" s="128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0" customHeight="1">
      <c r="A423" s="15"/>
      <c r="B423" s="15"/>
      <c r="C423" s="36"/>
      <c r="D423" s="128"/>
      <c r="E423" s="119"/>
      <c r="F423" s="128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0" customHeight="1">
      <c r="A424" s="15"/>
      <c r="B424" s="15"/>
      <c r="C424" s="133"/>
      <c r="D424" s="128"/>
      <c r="E424" s="119"/>
      <c r="F424" s="128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0" customHeight="1">
      <c r="A425" s="15"/>
      <c r="B425" s="15"/>
      <c r="C425" s="15"/>
      <c r="D425" s="128"/>
      <c r="E425" s="119"/>
      <c r="F425" s="128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0" customHeight="1">
      <c r="A426" s="15"/>
      <c r="B426" s="15"/>
      <c r="C426" s="15"/>
      <c r="D426" s="128"/>
      <c r="E426" s="119"/>
      <c r="F426" s="128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0" customHeight="1">
      <c r="A427" s="15"/>
      <c r="B427" s="15"/>
      <c r="C427" s="15"/>
      <c r="D427" s="128"/>
      <c r="E427" s="119"/>
      <c r="F427" s="128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0" customHeight="1">
      <c r="A428" s="15"/>
      <c r="B428" s="15"/>
      <c r="C428" s="15"/>
      <c r="D428" s="128"/>
      <c r="E428" s="119"/>
      <c r="F428" s="128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0" customHeight="1">
      <c r="A429" s="15"/>
      <c r="B429" s="15"/>
      <c r="C429" s="15"/>
      <c r="D429" s="128"/>
      <c r="E429" s="119"/>
      <c r="F429" s="128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0" customHeight="1">
      <c r="A430" s="15"/>
      <c r="B430" s="15"/>
      <c r="C430" s="15"/>
      <c r="D430" s="128"/>
      <c r="E430" s="119"/>
      <c r="F430" s="128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0" customHeight="1">
      <c r="A431" s="15"/>
      <c r="B431" s="15"/>
      <c r="C431" s="36"/>
      <c r="D431" s="128"/>
      <c r="E431" s="119"/>
      <c r="F431" s="128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0" customHeight="1">
      <c r="A432" s="15"/>
      <c r="B432" s="15"/>
      <c r="C432" s="133"/>
      <c r="D432" s="128"/>
      <c r="E432" s="119"/>
      <c r="F432" s="128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0" customHeight="1">
      <c r="A433" s="15"/>
      <c r="B433" s="15"/>
      <c r="C433" s="15"/>
      <c r="D433" s="128"/>
      <c r="E433" s="119"/>
      <c r="F433" s="128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0" customHeight="1">
      <c r="A434" s="15"/>
      <c r="B434" s="15"/>
      <c r="C434" s="15"/>
      <c r="D434" s="128"/>
      <c r="E434" s="119"/>
      <c r="F434" s="128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0" customHeight="1">
      <c r="A435" s="15"/>
      <c r="B435" s="15"/>
      <c r="C435" s="15"/>
      <c r="D435" s="128"/>
      <c r="E435" s="119"/>
      <c r="F435" s="128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0" customHeight="1">
      <c r="A436" s="15"/>
      <c r="B436" s="15"/>
      <c r="C436" s="36"/>
      <c r="D436" s="128"/>
      <c r="E436" s="119"/>
      <c r="F436" s="128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0" customHeight="1">
      <c r="A437" s="15"/>
      <c r="B437" s="15"/>
      <c r="C437" s="133"/>
      <c r="D437" s="128"/>
      <c r="E437" s="119"/>
      <c r="F437" s="128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0" customHeight="1">
      <c r="A438" s="15"/>
      <c r="B438" s="15"/>
      <c r="C438" s="15"/>
      <c r="D438" s="128"/>
      <c r="E438" s="119"/>
      <c r="F438" s="128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0" customHeight="1">
      <c r="A439" s="15"/>
      <c r="B439" s="15"/>
      <c r="C439" s="36"/>
      <c r="D439" s="128"/>
      <c r="E439" s="119"/>
      <c r="F439" s="128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0" customHeight="1">
      <c r="A440" s="15"/>
      <c r="B440" s="15"/>
      <c r="C440" s="133"/>
      <c r="D440" s="128"/>
      <c r="E440" s="119"/>
      <c r="F440" s="128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0" customHeight="1">
      <c r="A441" s="15"/>
      <c r="B441" s="15"/>
      <c r="C441" s="15"/>
      <c r="D441" s="128"/>
      <c r="E441" s="119"/>
      <c r="F441" s="128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0" customHeight="1">
      <c r="A442" s="15"/>
      <c r="B442" s="15"/>
      <c r="C442" s="36"/>
      <c r="D442" s="128"/>
      <c r="E442" s="119"/>
      <c r="F442" s="128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25.5" customHeight="1">
      <c r="A443" s="15"/>
      <c r="B443" s="15"/>
      <c r="C443" s="133"/>
      <c r="D443" s="128"/>
      <c r="E443" s="128"/>
      <c r="F443" s="128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0" customHeight="1">
      <c r="A444" s="15"/>
      <c r="B444" s="15"/>
      <c r="C444" s="15"/>
      <c r="D444" s="128"/>
      <c r="E444" s="128"/>
      <c r="F444" s="128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0" customHeight="1">
      <c r="A445" s="15"/>
      <c r="B445" s="15"/>
      <c r="C445" s="15"/>
      <c r="D445" s="128"/>
      <c r="E445" s="128"/>
      <c r="F445" s="128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0" customHeight="1">
      <c r="A446" s="15"/>
      <c r="B446" s="15"/>
      <c r="C446" s="15"/>
      <c r="D446" s="128"/>
      <c r="E446" s="128"/>
      <c r="F446" s="13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5"/>
      <c r="B447" s="15"/>
      <c r="C447" s="15"/>
      <c r="D447" s="128"/>
      <c r="E447" s="128"/>
      <c r="F447" s="128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0" customHeight="1">
      <c r="A448" s="15"/>
      <c r="B448" s="15"/>
      <c r="C448" s="15"/>
      <c r="D448" s="128"/>
      <c r="E448" s="128"/>
      <c r="F448" s="128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0" customHeight="1">
      <c r="A449" s="15"/>
      <c r="B449" s="15"/>
      <c r="C449" s="15"/>
      <c r="D449" s="128"/>
      <c r="E449" s="128"/>
      <c r="F449" s="128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0" customHeight="1">
      <c r="A450" s="15"/>
      <c r="B450" s="15"/>
      <c r="C450" s="15"/>
      <c r="D450" s="128"/>
      <c r="E450" s="128"/>
      <c r="F450" s="128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0" customHeight="1">
      <c r="A451" s="15"/>
      <c r="B451" s="15"/>
      <c r="C451" s="36"/>
      <c r="D451" s="128"/>
      <c r="E451" s="128"/>
      <c r="F451" s="128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25.5" customHeight="1">
      <c r="A452" s="15"/>
      <c r="B452" s="15"/>
      <c r="C452" s="133"/>
      <c r="D452" s="128"/>
      <c r="E452" s="128"/>
      <c r="F452" s="128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25.5" customHeight="1">
      <c r="A453" s="15"/>
      <c r="B453" s="15"/>
      <c r="C453" s="15"/>
      <c r="D453" s="128"/>
      <c r="E453" s="128"/>
      <c r="F453" s="128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0" customHeight="1">
      <c r="A454" s="15"/>
      <c r="B454" s="15"/>
      <c r="C454" s="15"/>
      <c r="D454" s="128"/>
      <c r="E454" s="128"/>
      <c r="F454" s="128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0" customHeight="1">
      <c r="A455" s="15"/>
      <c r="B455" s="15"/>
      <c r="C455" s="15"/>
      <c r="D455" s="128"/>
      <c r="E455" s="128"/>
      <c r="F455" s="128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0" customHeight="1">
      <c r="A456" s="15"/>
      <c r="B456" s="15"/>
      <c r="C456" s="15"/>
      <c r="D456" s="128"/>
      <c r="E456" s="128"/>
      <c r="F456" s="128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0" customHeight="1">
      <c r="A457" s="15"/>
      <c r="B457" s="15"/>
      <c r="C457" s="15"/>
      <c r="D457" s="128"/>
      <c r="E457" s="128"/>
      <c r="F457" s="128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0" customHeight="1">
      <c r="A458" s="15"/>
      <c r="B458" s="15"/>
      <c r="C458" s="36"/>
      <c r="D458" s="128"/>
      <c r="E458" s="128"/>
      <c r="F458" s="128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0" customHeight="1">
      <c r="A459" s="15"/>
      <c r="B459" s="15"/>
      <c r="C459" s="133"/>
      <c r="D459" s="128"/>
      <c r="E459" s="128"/>
      <c r="F459" s="128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0" customHeight="1">
      <c r="A460" s="15"/>
      <c r="B460" s="15"/>
      <c r="C460" s="15"/>
      <c r="D460" s="128"/>
      <c r="E460" s="128"/>
      <c r="F460" s="128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25.5" customHeight="1">
      <c r="A461" s="15"/>
      <c r="B461" s="36"/>
      <c r="C461" s="36"/>
      <c r="D461" s="128"/>
      <c r="E461" s="128"/>
      <c r="F461" s="128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25.5" customHeight="1">
      <c r="A462" s="15"/>
      <c r="B462" s="133"/>
      <c r="C462" s="133"/>
      <c r="D462" s="128"/>
      <c r="E462" s="119"/>
      <c r="F462" s="128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5"/>
      <c r="B463" s="15"/>
      <c r="C463" s="15"/>
      <c r="D463" s="128"/>
      <c r="E463" s="119"/>
      <c r="F463" s="128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0" customHeight="1">
      <c r="A464" s="15"/>
      <c r="B464" s="15"/>
      <c r="C464" s="15"/>
      <c r="D464" s="128"/>
      <c r="E464" s="119"/>
      <c r="F464" s="128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0" customHeight="1">
      <c r="A465" s="15"/>
      <c r="B465" s="15"/>
      <c r="C465" s="36"/>
      <c r="D465" s="128"/>
      <c r="E465" s="119"/>
      <c r="F465" s="128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0" customHeight="1">
      <c r="A466" s="15"/>
      <c r="B466" s="15"/>
      <c r="C466" s="133"/>
      <c r="D466" s="128"/>
      <c r="E466" s="119"/>
      <c r="F466" s="128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0" customHeight="1">
      <c r="A467" s="15"/>
      <c r="B467" s="15"/>
      <c r="C467" s="15"/>
      <c r="D467" s="128"/>
      <c r="E467" s="119"/>
      <c r="F467" s="128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0" customHeight="1">
      <c r="A468" s="15"/>
      <c r="B468" s="15"/>
      <c r="C468" s="15"/>
      <c r="D468" s="128"/>
      <c r="E468" s="119"/>
      <c r="F468" s="128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0" customHeight="1">
      <c r="A469" s="15"/>
      <c r="B469" s="15"/>
      <c r="C469" s="15"/>
      <c r="D469" s="128"/>
      <c r="E469" s="119"/>
      <c r="F469" s="128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0" customHeight="1">
      <c r="A470" s="15"/>
      <c r="B470" s="15"/>
      <c r="C470" s="15"/>
      <c r="D470" s="128"/>
      <c r="E470" s="119"/>
      <c r="F470" s="128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0" customHeight="1">
      <c r="A471" s="15"/>
      <c r="B471" s="15"/>
      <c r="C471" s="15"/>
      <c r="D471" s="128"/>
      <c r="E471" s="119"/>
      <c r="F471" s="128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0" customHeight="1">
      <c r="A472" s="15"/>
      <c r="B472" s="15"/>
      <c r="C472" s="15"/>
      <c r="D472" s="128"/>
      <c r="E472" s="119"/>
      <c r="F472" s="128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0" customHeight="1">
      <c r="A473" s="15"/>
      <c r="B473" s="15"/>
      <c r="C473" s="36"/>
      <c r="D473" s="128"/>
      <c r="E473" s="119"/>
      <c r="F473" s="128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0" customHeight="1">
      <c r="A474" s="15"/>
      <c r="B474" s="15"/>
      <c r="C474" s="133"/>
      <c r="D474" s="128"/>
      <c r="E474" s="119"/>
      <c r="F474" s="128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0" customHeight="1">
      <c r="A475" s="15"/>
      <c r="B475" s="15"/>
      <c r="C475" s="15"/>
      <c r="D475" s="128"/>
      <c r="E475" s="119"/>
      <c r="F475" s="128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0" customHeight="1">
      <c r="A476" s="15"/>
      <c r="B476" s="15"/>
      <c r="C476" s="15"/>
      <c r="D476" s="128"/>
      <c r="E476" s="119"/>
      <c r="F476" s="128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0" customHeight="1">
      <c r="A477" s="15"/>
      <c r="B477" s="15"/>
      <c r="C477" s="15"/>
      <c r="D477" s="128"/>
      <c r="E477" s="119"/>
      <c r="F477" s="128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0" customHeight="1">
      <c r="A478" s="15"/>
      <c r="B478" s="15"/>
      <c r="C478" s="36"/>
      <c r="D478" s="128"/>
      <c r="E478" s="119"/>
      <c r="F478" s="128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0" customHeight="1">
      <c r="A479" s="15"/>
      <c r="B479" s="15"/>
      <c r="C479" s="133"/>
      <c r="D479" s="128"/>
      <c r="E479" s="119"/>
      <c r="F479" s="128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0" customHeight="1">
      <c r="A480" s="15"/>
      <c r="B480" s="15"/>
      <c r="C480" s="15"/>
      <c r="D480" s="128"/>
      <c r="E480" s="119"/>
      <c r="F480" s="128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0" customHeight="1">
      <c r="A481" s="15"/>
      <c r="B481" s="15"/>
      <c r="C481" s="36"/>
      <c r="D481" s="128"/>
      <c r="E481" s="119"/>
      <c r="F481" s="128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0" customHeight="1">
      <c r="A482" s="15"/>
      <c r="B482" s="15"/>
      <c r="C482" s="133"/>
      <c r="D482" s="128"/>
      <c r="E482" s="119"/>
      <c r="F482" s="128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0" customHeight="1">
      <c r="A483" s="15"/>
      <c r="B483" s="15"/>
      <c r="C483" s="15"/>
      <c r="D483" s="128"/>
      <c r="E483" s="119"/>
      <c r="F483" s="128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0" customHeight="1">
      <c r="A484" s="15"/>
      <c r="B484" s="15"/>
      <c r="C484" s="36"/>
      <c r="D484" s="128"/>
      <c r="E484" s="119"/>
      <c r="F484" s="128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25.5" customHeight="1">
      <c r="A485" s="15"/>
      <c r="B485" s="15"/>
      <c r="C485" s="133"/>
      <c r="D485" s="128"/>
      <c r="E485" s="128"/>
      <c r="F485" s="128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0" customHeight="1">
      <c r="A486" s="15"/>
      <c r="B486" s="15"/>
      <c r="C486" s="15"/>
      <c r="D486" s="128"/>
      <c r="E486" s="128"/>
      <c r="F486" s="128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0" customHeight="1">
      <c r="A487" s="15"/>
      <c r="B487" s="15"/>
      <c r="C487" s="15"/>
      <c r="D487" s="128"/>
      <c r="E487" s="128"/>
      <c r="F487" s="128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0" customHeight="1">
      <c r="A488" s="15"/>
      <c r="B488" s="15"/>
      <c r="C488" s="15"/>
      <c r="D488" s="128"/>
      <c r="E488" s="128"/>
      <c r="F488" s="13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5"/>
      <c r="B489" s="15"/>
      <c r="C489" s="15"/>
      <c r="D489" s="128"/>
      <c r="E489" s="128"/>
      <c r="F489" s="128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0" customHeight="1">
      <c r="A490" s="15"/>
      <c r="B490" s="15"/>
      <c r="C490" s="15"/>
      <c r="D490" s="128"/>
      <c r="E490" s="128"/>
      <c r="F490" s="128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0" customHeight="1">
      <c r="A491" s="15"/>
      <c r="B491" s="15"/>
      <c r="C491" s="15"/>
      <c r="D491" s="128"/>
      <c r="E491" s="128"/>
      <c r="F491" s="128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0" customHeight="1">
      <c r="A492" s="15"/>
      <c r="B492" s="15"/>
      <c r="C492" s="15"/>
      <c r="D492" s="128"/>
      <c r="E492" s="128"/>
      <c r="F492" s="128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0" customHeight="1">
      <c r="A493" s="15"/>
      <c r="B493" s="15"/>
      <c r="C493" s="36"/>
      <c r="D493" s="128"/>
      <c r="E493" s="128"/>
      <c r="F493" s="128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25.5" customHeight="1">
      <c r="A494" s="15"/>
      <c r="B494" s="15"/>
      <c r="C494" s="133"/>
      <c r="D494" s="128"/>
      <c r="E494" s="128"/>
      <c r="F494" s="128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25.5" customHeight="1">
      <c r="A495" s="15"/>
      <c r="B495" s="15"/>
      <c r="C495" s="15"/>
      <c r="D495" s="128"/>
      <c r="E495" s="128"/>
      <c r="F495" s="128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0" customHeight="1">
      <c r="A496" s="15"/>
      <c r="B496" s="15"/>
      <c r="C496" s="15"/>
      <c r="D496" s="128"/>
      <c r="E496" s="128"/>
      <c r="F496" s="128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0" customHeight="1">
      <c r="A497" s="15"/>
      <c r="B497" s="15"/>
      <c r="C497" s="15"/>
      <c r="D497" s="128"/>
      <c r="E497" s="128"/>
      <c r="F497" s="128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0" customHeight="1">
      <c r="A498" s="15"/>
      <c r="B498" s="15"/>
      <c r="C498" s="15"/>
      <c r="D498" s="128"/>
      <c r="E498" s="128"/>
      <c r="F498" s="128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0" customHeight="1">
      <c r="A499" s="15"/>
      <c r="B499" s="15"/>
      <c r="C499" s="15"/>
      <c r="D499" s="128"/>
      <c r="E499" s="128"/>
      <c r="F499" s="128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0" customHeight="1">
      <c r="A500" s="15"/>
      <c r="B500" s="15"/>
      <c r="C500" s="36"/>
      <c r="D500" s="128"/>
      <c r="E500" s="128"/>
      <c r="F500" s="128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0" customHeight="1">
      <c r="A501" s="15"/>
      <c r="B501" s="15"/>
      <c r="C501" s="133"/>
      <c r="D501" s="128"/>
      <c r="E501" s="128"/>
      <c r="F501" s="128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0" customHeight="1">
      <c r="A502" s="15"/>
      <c r="B502" s="15"/>
      <c r="C502" s="15"/>
      <c r="D502" s="128"/>
      <c r="E502" s="128"/>
      <c r="F502" s="128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25.5" customHeight="1">
      <c r="A503" s="15"/>
      <c r="B503" s="36"/>
      <c r="C503" s="36"/>
      <c r="D503" s="128"/>
      <c r="E503" s="128"/>
      <c r="F503" s="128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25.5" customHeight="1">
      <c r="A504" s="15"/>
      <c r="B504" s="133"/>
      <c r="C504" s="133"/>
      <c r="D504" s="128"/>
      <c r="E504" s="119"/>
      <c r="F504" s="128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5"/>
      <c r="B505" s="15"/>
      <c r="C505" s="15"/>
      <c r="D505" s="128"/>
      <c r="E505" s="119"/>
      <c r="F505" s="128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0" customHeight="1">
      <c r="A506" s="15"/>
      <c r="B506" s="15"/>
      <c r="C506" s="15"/>
      <c r="D506" s="128"/>
      <c r="E506" s="119"/>
      <c r="F506" s="128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25.5" customHeight="1">
      <c r="A507" s="15"/>
      <c r="B507" s="15"/>
      <c r="C507" s="36"/>
      <c r="D507" s="128"/>
      <c r="E507" s="119"/>
      <c r="F507" s="128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0" customHeight="1">
      <c r="A508" s="15"/>
      <c r="B508" s="15"/>
      <c r="C508" s="133"/>
      <c r="D508" s="128"/>
      <c r="E508" s="119"/>
      <c r="F508" s="128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0" customHeight="1">
      <c r="A509" s="15"/>
      <c r="B509" s="15"/>
      <c r="C509" s="15"/>
      <c r="D509" s="128"/>
      <c r="E509" s="119"/>
      <c r="F509" s="128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0" customHeight="1">
      <c r="A510" s="15"/>
      <c r="B510" s="15"/>
      <c r="C510" s="15"/>
      <c r="D510" s="128"/>
      <c r="E510" s="119"/>
      <c r="F510" s="128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0" customHeight="1">
      <c r="A511" s="15"/>
      <c r="B511" s="15"/>
      <c r="C511" s="15"/>
      <c r="D511" s="128"/>
      <c r="E511" s="119"/>
      <c r="F511" s="128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0" customHeight="1">
      <c r="A512" s="15"/>
      <c r="B512" s="15"/>
      <c r="C512" s="15"/>
      <c r="D512" s="128"/>
      <c r="E512" s="119"/>
      <c r="F512" s="128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0" customHeight="1">
      <c r="A513" s="15"/>
      <c r="B513" s="15"/>
      <c r="C513" s="15"/>
      <c r="D513" s="128"/>
      <c r="E513" s="119"/>
      <c r="F513" s="128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0" customHeight="1">
      <c r="A514" s="15"/>
      <c r="B514" s="15"/>
      <c r="C514" s="15"/>
      <c r="D514" s="128"/>
      <c r="E514" s="119"/>
      <c r="F514" s="128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0" customHeight="1">
      <c r="A515" s="15"/>
      <c r="B515" s="15"/>
      <c r="C515" s="36"/>
      <c r="D515" s="128"/>
      <c r="E515" s="119"/>
      <c r="F515" s="128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0" customHeight="1">
      <c r="A516" s="15"/>
      <c r="B516" s="15"/>
      <c r="C516" s="133"/>
      <c r="D516" s="128"/>
      <c r="E516" s="119"/>
      <c r="F516" s="128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0" customHeight="1">
      <c r="A517" s="15"/>
      <c r="B517" s="15"/>
      <c r="C517" s="15"/>
      <c r="D517" s="128"/>
      <c r="E517" s="119"/>
      <c r="F517" s="128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0" customHeight="1">
      <c r="A518" s="15"/>
      <c r="B518" s="15"/>
      <c r="C518" s="15"/>
      <c r="D518" s="128"/>
      <c r="E518" s="119"/>
      <c r="F518" s="128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0" customHeight="1">
      <c r="A519" s="15"/>
      <c r="B519" s="15"/>
      <c r="C519" s="15"/>
      <c r="D519" s="128"/>
      <c r="E519" s="119"/>
      <c r="F519" s="128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0" customHeight="1">
      <c r="A520" s="15"/>
      <c r="B520" s="15"/>
      <c r="C520" s="36"/>
      <c r="D520" s="128"/>
      <c r="E520" s="119"/>
      <c r="F520" s="128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25.5" customHeight="1">
      <c r="A521" s="15"/>
      <c r="B521" s="15"/>
      <c r="C521" s="133"/>
      <c r="D521" s="128"/>
      <c r="E521" s="119"/>
      <c r="F521" s="128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0" customHeight="1">
      <c r="A522" s="15"/>
      <c r="B522" s="15"/>
      <c r="C522" s="15"/>
      <c r="D522" s="128"/>
      <c r="E522" s="119"/>
      <c r="F522" s="128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0" customHeight="1">
      <c r="A523" s="15"/>
      <c r="B523" s="15"/>
      <c r="C523" s="36"/>
      <c r="D523" s="128"/>
      <c r="E523" s="119"/>
      <c r="F523" s="128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25.5" customHeight="1">
      <c r="A524" s="15"/>
      <c r="B524" s="15"/>
      <c r="C524" s="133"/>
      <c r="D524" s="128"/>
      <c r="E524" s="119"/>
      <c r="F524" s="128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0" customHeight="1">
      <c r="A525" s="15"/>
      <c r="B525" s="15"/>
      <c r="C525" s="15"/>
      <c r="D525" s="128"/>
      <c r="E525" s="119"/>
      <c r="F525" s="128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0" customHeight="1">
      <c r="A526" s="15"/>
      <c r="B526" s="15"/>
      <c r="C526" s="15"/>
      <c r="D526" s="128"/>
      <c r="E526" s="119"/>
      <c r="F526" s="128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0" customHeight="1">
      <c r="A527" s="15"/>
      <c r="B527" s="15"/>
      <c r="C527" s="15"/>
      <c r="D527" s="128"/>
      <c r="E527" s="119"/>
      <c r="F527" s="128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0" customHeight="1">
      <c r="A528" s="15"/>
      <c r="B528" s="15"/>
      <c r="C528" s="15"/>
      <c r="D528" s="128"/>
      <c r="E528" s="119"/>
      <c r="F528" s="128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0" customHeight="1">
      <c r="A529" s="15"/>
      <c r="B529" s="15"/>
      <c r="C529" s="15"/>
      <c r="D529" s="128"/>
      <c r="E529" s="119"/>
      <c r="F529" s="128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0" customHeight="1">
      <c r="A530" s="36"/>
      <c r="B530" s="15"/>
      <c r="C530" s="36"/>
      <c r="D530" s="128"/>
      <c r="E530" s="119"/>
      <c r="F530" s="128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25.5" customHeight="1">
      <c r="A531" s="133"/>
      <c r="B531" s="133"/>
      <c r="C531" s="133"/>
      <c r="D531" s="128"/>
      <c r="E531" s="119"/>
      <c r="F531" s="128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5"/>
      <c r="B532" s="15"/>
      <c r="C532" s="15"/>
      <c r="D532" s="128"/>
      <c r="E532" s="119"/>
      <c r="F532" s="128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0" customHeight="1">
      <c r="A533" s="15"/>
      <c r="B533" s="15"/>
      <c r="C533" s="15"/>
      <c r="D533" s="128"/>
      <c r="E533" s="119"/>
      <c r="F533" s="128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0" customHeight="1">
      <c r="A534" s="15"/>
      <c r="B534" s="15"/>
      <c r="C534" s="36"/>
      <c r="D534" s="128"/>
      <c r="E534" s="119"/>
      <c r="F534" s="128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0" customHeight="1">
      <c r="A535" s="15"/>
      <c r="B535" s="15"/>
      <c r="C535" s="133"/>
      <c r="D535" s="128"/>
      <c r="E535" s="119"/>
      <c r="F535" s="128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0" customHeight="1">
      <c r="A536" s="15"/>
      <c r="B536" s="15"/>
      <c r="C536" s="15"/>
      <c r="D536" s="128"/>
      <c r="E536" s="119"/>
      <c r="F536" s="128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0" customHeight="1">
      <c r="A537" s="15"/>
      <c r="B537" s="15"/>
      <c r="C537" s="15"/>
      <c r="D537" s="128"/>
      <c r="E537" s="119"/>
      <c r="F537" s="128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0" customHeight="1">
      <c r="A538" s="15"/>
      <c r="B538" s="15"/>
      <c r="C538" s="15"/>
      <c r="D538" s="128"/>
      <c r="E538" s="119"/>
      <c r="F538" s="128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0" customHeight="1">
      <c r="A539" s="15"/>
      <c r="B539" s="15"/>
      <c r="C539" s="15"/>
      <c r="D539" s="128"/>
      <c r="E539" s="119"/>
      <c r="F539" s="128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0" customHeight="1">
      <c r="A540" s="15"/>
      <c r="B540" s="15"/>
      <c r="C540" s="15"/>
      <c r="D540" s="128"/>
      <c r="E540" s="119"/>
      <c r="F540" s="128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0" customHeight="1">
      <c r="A541" s="15"/>
      <c r="B541" s="15"/>
      <c r="C541" s="15"/>
      <c r="D541" s="128"/>
      <c r="E541" s="119"/>
      <c r="F541" s="128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0" customHeight="1">
      <c r="A542" s="15"/>
      <c r="B542" s="15"/>
      <c r="C542" s="36"/>
      <c r="D542" s="128"/>
      <c r="E542" s="119"/>
      <c r="F542" s="128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0" customHeight="1">
      <c r="A543" s="15"/>
      <c r="B543" s="15"/>
      <c r="C543" s="133"/>
      <c r="D543" s="128"/>
      <c r="E543" s="119"/>
      <c r="F543" s="128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0" customHeight="1">
      <c r="A544" s="15"/>
      <c r="B544" s="15"/>
      <c r="C544" s="15"/>
      <c r="D544" s="128"/>
      <c r="E544" s="119"/>
      <c r="F544" s="128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0" customHeight="1">
      <c r="A545" s="15"/>
      <c r="B545" s="15"/>
      <c r="C545" s="15"/>
      <c r="D545" s="128"/>
      <c r="E545" s="119"/>
      <c r="F545" s="128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0" customHeight="1">
      <c r="A546" s="15"/>
      <c r="B546" s="15"/>
      <c r="C546" s="15"/>
      <c r="D546" s="128"/>
      <c r="E546" s="119"/>
      <c r="F546" s="128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0" customHeight="1">
      <c r="A547" s="15"/>
      <c r="B547" s="15"/>
      <c r="C547" s="36"/>
      <c r="D547" s="128"/>
      <c r="E547" s="119"/>
      <c r="F547" s="128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0" customHeight="1">
      <c r="A548" s="15"/>
      <c r="B548" s="15"/>
      <c r="C548" s="133"/>
      <c r="D548" s="128"/>
      <c r="E548" s="119"/>
      <c r="F548" s="128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0" customHeight="1">
      <c r="A549" s="15"/>
      <c r="B549" s="15"/>
      <c r="C549" s="15"/>
      <c r="D549" s="128"/>
      <c r="E549" s="119"/>
      <c r="F549" s="128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0" customHeight="1">
      <c r="A550" s="15"/>
      <c r="B550" s="15"/>
      <c r="C550" s="15"/>
      <c r="D550" s="128"/>
      <c r="E550" s="119"/>
      <c r="F550" s="128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0" customHeight="1">
      <c r="A551" s="15"/>
      <c r="B551" s="15"/>
      <c r="C551" s="133"/>
      <c r="D551" s="128"/>
      <c r="E551" s="119"/>
      <c r="F551" s="128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0" customHeight="1">
      <c r="A552" s="15"/>
      <c r="B552" s="15"/>
      <c r="C552" s="15"/>
      <c r="D552" s="128"/>
      <c r="E552" s="119"/>
      <c r="F552" s="128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0" customHeight="1">
      <c r="A553" s="15"/>
      <c r="B553" s="15"/>
      <c r="C553" s="36"/>
      <c r="D553" s="128"/>
      <c r="E553" s="119"/>
      <c r="F553" s="128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0" customHeight="1">
      <c r="A554" s="15"/>
      <c r="B554" s="36"/>
      <c r="C554" s="15"/>
      <c r="D554" s="128"/>
      <c r="E554" s="119"/>
      <c r="F554" s="128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25.5" customHeight="1">
      <c r="A555" s="15"/>
      <c r="B555" s="133"/>
      <c r="C555" s="133"/>
      <c r="D555" s="128"/>
      <c r="E555" s="128"/>
      <c r="F555" s="128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5"/>
      <c r="B556" s="15"/>
      <c r="C556" s="15"/>
      <c r="D556" s="128"/>
      <c r="E556" s="128"/>
      <c r="F556" s="128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5"/>
      <c r="B557" s="15"/>
      <c r="C557" s="15"/>
      <c r="D557" s="128"/>
      <c r="E557" s="128"/>
      <c r="F557" s="128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5"/>
      <c r="B558" s="15"/>
      <c r="C558" s="15"/>
      <c r="D558" s="128"/>
      <c r="E558" s="128"/>
      <c r="F558" s="128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5"/>
      <c r="B559" s="15"/>
      <c r="C559" s="36"/>
      <c r="D559" s="128"/>
      <c r="E559" s="128"/>
      <c r="F559" s="128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5"/>
      <c r="B560" s="15"/>
      <c r="C560" s="133"/>
      <c r="D560" s="128"/>
      <c r="E560" s="128"/>
      <c r="F560" s="128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5"/>
      <c r="B561" s="15"/>
      <c r="C561" s="15"/>
      <c r="D561" s="128"/>
      <c r="E561" s="128"/>
      <c r="F561" s="128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5"/>
      <c r="B562" s="15"/>
      <c r="C562" s="15"/>
      <c r="D562" s="128"/>
      <c r="E562" s="128"/>
      <c r="F562" s="128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5"/>
      <c r="B563" s="15"/>
      <c r="C563" s="15"/>
      <c r="D563" s="128"/>
      <c r="E563" s="128"/>
      <c r="F563" s="128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5"/>
      <c r="B564" s="15"/>
      <c r="C564" s="36"/>
      <c r="D564" s="128"/>
      <c r="E564" s="128"/>
      <c r="F564" s="128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5"/>
      <c r="B565" s="15"/>
      <c r="C565" s="119"/>
      <c r="D565" s="128"/>
      <c r="E565" s="128"/>
      <c r="F565" s="128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5"/>
      <c r="B566" s="15"/>
      <c r="C566" s="133"/>
      <c r="D566" s="156"/>
      <c r="E566" s="128"/>
      <c r="F566" s="128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5"/>
      <c r="B567" s="15"/>
      <c r="C567" s="15"/>
      <c r="D567" s="128"/>
      <c r="E567" s="128"/>
      <c r="F567" s="128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5"/>
      <c r="B568" s="15"/>
      <c r="C568" s="133"/>
      <c r="D568" s="156"/>
      <c r="E568" s="128"/>
      <c r="F568" s="128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5"/>
      <c r="B569" s="15"/>
      <c r="C569" s="15"/>
      <c r="D569" s="128"/>
      <c r="E569" s="128"/>
      <c r="F569" s="128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5"/>
      <c r="B570" s="15"/>
      <c r="C570" s="36"/>
      <c r="D570" s="128"/>
      <c r="E570" s="128"/>
      <c r="F570" s="128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5"/>
      <c r="B571" s="15"/>
      <c r="C571" s="133"/>
      <c r="D571" s="128"/>
      <c r="E571" s="128"/>
      <c r="F571" s="128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5"/>
      <c r="B572" s="15"/>
      <c r="C572" s="15"/>
      <c r="D572" s="128"/>
      <c r="E572" s="128"/>
      <c r="F572" s="128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5"/>
      <c r="B573" s="15"/>
      <c r="C573" s="15"/>
      <c r="D573" s="128"/>
      <c r="E573" s="128"/>
      <c r="F573" s="128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5"/>
      <c r="B574" s="15"/>
      <c r="C574" s="15"/>
      <c r="D574" s="128"/>
      <c r="E574" s="128"/>
      <c r="F574" s="128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5"/>
      <c r="B575" s="15"/>
      <c r="C575" s="15"/>
      <c r="D575" s="128"/>
      <c r="E575" s="128"/>
      <c r="F575" s="128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5"/>
      <c r="B576" s="15"/>
      <c r="C576" s="36"/>
      <c r="D576" s="128"/>
      <c r="E576" s="128"/>
      <c r="F576" s="128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25.5" customHeight="1">
      <c r="A577" s="15"/>
      <c r="B577" s="15"/>
      <c r="C577" s="133"/>
      <c r="D577" s="128"/>
      <c r="E577" s="128"/>
      <c r="F577" s="128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0" customHeight="1">
      <c r="A578" s="15"/>
      <c r="B578" s="15"/>
      <c r="C578" s="36"/>
      <c r="D578" s="128"/>
      <c r="E578" s="128"/>
      <c r="F578" s="128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5"/>
      <c r="B579" s="15"/>
      <c r="C579" s="133"/>
      <c r="D579" s="128"/>
      <c r="E579" s="128"/>
      <c r="F579" s="128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5"/>
      <c r="B580" s="15"/>
      <c r="C580" s="15"/>
      <c r="D580" s="128"/>
      <c r="E580" s="128"/>
      <c r="F580" s="128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25.5" customHeight="1">
      <c r="A581" s="15"/>
      <c r="B581" s="15"/>
      <c r="C581" s="15"/>
      <c r="D581" s="128"/>
      <c r="E581" s="128"/>
      <c r="F581" s="128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5"/>
      <c r="B582" s="15"/>
      <c r="C582" s="15"/>
      <c r="D582" s="128"/>
      <c r="E582" s="128"/>
      <c r="F582" s="128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25.5" customHeight="1">
      <c r="A583" s="15"/>
      <c r="B583" s="15"/>
      <c r="C583" s="15"/>
      <c r="D583" s="128"/>
      <c r="E583" s="128"/>
      <c r="F583" s="128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25.5" customHeight="1">
      <c r="A584" s="15"/>
      <c r="B584" s="15"/>
      <c r="C584" s="15"/>
      <c r="D584" s="128"/>
      <c r="E584" s="128"/>
      <c r="F584" s="128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25.5" customHeight="1">
      <c r="A585" s="15"/>
      <c r="B585" s="15"/>
      <c r="C585" s="15"/>
      <c r="D585" s="128"/>
      <c r="E585" s="128"/>
      <c r="F585" s="128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5"/>
      <c r="B586" s="15"/>
      <c r="C586" s="15"/>
      <c r="D586" s="128"/>
      <c r="E586" s="128"/>
      <c r="F586" s="128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5"/>
      <c r="B587" s="15"/>
      <c r="C587" s="15"/>
      <c r="D587" s="128"/>
      <c r="E587" s="128"/>
      <c r="F587" s="128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5"/>
      <c r="B588" s="15"/>
      <c r="C588" s="133"/>
      <c r="D588" s="128"/>
      <c r="E588" s="128"/>
      <c r="F588" s="128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0" customHeight="1">
      <c r="A589" s="15"/>
      <c r="B589" s="15"/>
      <c r="C589" s="15"/>
      <c r="D589" s="128"/>
      <c r="E589" s="128"/>
      <c r="F589" s="128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25.5" customHeight="1">
      <c r="A590" s="15"/>
      <c r="B590" s="15"/>
      <c r="C590" s="15"/>
      <c r="D590" s="128"/>
      <c r="E590" s="128"/>
      <c r="F590" s="128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5"/>
      <c r="B591" s="15"/>
      <c r="C591" s="15"/>
      <c r="D591" s="128"/>
      <c r="E591" s="128"/>
      <c r="F591" s="128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25.5" customHeight="1">
      <c r="A592" s="15"/>
      <c r="B592" s="15"/>
      <c r="C592" s="15"/>
      <c r="D592" s="128"/>
      <c r="E592" s="128"/>
      <c r="F592" s="128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25.5" customHeight="1">
      <c r="A593" s="15"/>
      <c r="B593" s="15"/>
      <c r="C593" s="15"/>
      <c r="D593" s="128"/>
      <c r="E593" s="128"/>
      <c r="F593" s="128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25.5" customHeight="1">
      <c r="A594" s="15"/>
      <c r="B594" s="15"/>
      <c r="C594" s="15"/>
      <c r="D594" s="128"/>
      <c r="E594" s="128"/>
      <c r="F594" s="128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5"/>
      <c r="B595" s="15"/>
      <c r="C595" s="15"/>
      <c r="D595" s="128"/>
      <c r="E595" s="128"/>
      <c r="F595" s="128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5"/>
      <c r="B596" s="15"/>
      <c r="C596" s="15"/>
      <c r="D596" s="128"/>
      <c r="E596" s="128"/>
      <c r="F596" s="128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0" customHeight="1">
      <c r="A597" s="15"/>
      <c r="B597" s="15"/>
      <c r="C597" s="36"/>
      <c r="D597" s="128"/>
      <c r="E597" s="128"/>
      <c r="F597" s="128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5"/>
      <c r="B598" s="15"/>
      <c r="C598" s="133"/>
      <c r="D598" s="128"/>
      <c r="E598" s="128"/>
      <c r="F598" s="128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5"/>
      <c r="B599" s="15"/>
      <c r="C599" s="15"/>
      <c r="D599" s="128"/>
      <c r="E599" s="128"/>
      <c r="F599" s="128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0" customHeight="1">
      <c r="A600" s="15"/>
      <c r="B600" s="15"/>
      <c r="C600" s="15"/>
      <c r="D600" s="128"/>
      <c r="E600" s="128"/>
      <c r="F600" s="128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25.5" customHeight="1">
      <c r="A601" s="15"/>
      <c r="B601" s="15"/>
      <c r="C601" s="15"/>
      <c r="D601" s="128"/>
      <c r="E601" s="128"/>
      <c r="F601" s="128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0" customHeight="1">
      <c r="A602" s="15"/>
      <c r="B602" s="15"/>
      <c r="C602" s="36"/>
      <c r="D602" s="128"/>
      <c r="E602" s="128"/>
      <c r="F602" s="128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38.25" customHeight="1">
      <c r="A603" s="15"/>
      <c r="B603" s="15"/>
      <c r="C603" s="133"/>
      <c r="D603" s="128"/>
      <c r="E603" s="128"/>
      <c r="F603" s="128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5"/>
      <c r="B604" s="15"/>
      <c r="C604" s="15"/>
      <c r="D604" s="128"/>
      <c r="E604" s="128"/>
      <c r="F604" s="128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5"/>
      <c r="B605" s="36"/>
      <c r="C605" s="36"/>
      <c r="D605" s="128"/>
      <c r="E605" s="128"/>
      <c r="F605" s="128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25.5" customHeight="1">
      <c r="A606" s="15"/>
      <c r="B606" s="133"/>
      <c r="C606" s="133"/>
      <c r="D606" s="128"/>
      <c r="E606" s="128"/>
      <c r="F606" s="128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25.5" customHeight="1">
      <c r="A607" s="15"/>
      <c r="B607" s="15"/>
      <c r="C607" s="15"/>
      <c r="D607" s="128"/>
      <c r="E607" s="128"/>
      <c r="F607" s="128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25.5" customHeight="1">
      <c r="A608" s="15"/>
      <c r="B608" s="15"/>
      <c r="C608" s="15"/>
      <c r="D608" s="128"/>
      <c r="E608" s="128"/>
      <c r="F608" s="128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5"/>
      <c r="B609" s="15"/>
      <c r="C609" s="15"/>
      <c r="D609" s="128"/>
      <c r="E609" s="128"/>
      <c r="F609" s="128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5"/>
      <c r="B610" s="15"/>
      <c r="C610" s="15"/>
      <c r="D610" s="128"/>
      <c r="E610" s="128"/>
      <c r="F610" s="128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5"/>
      <c r="B611" s="15"/>
      <c r="C611" s="15"/>
      <c r="D611" s="128"/>
      <c r="E611" s="128"/>
      <c r="F611" s="128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5"/>
      <c r="B612" s="15"/>
      <c r="C612" s="15"/>
      <c r="D612" s="128"/>
      <c r="E612" s="128"/>
      <c r="F612" s="128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5"/>
      <c r="B613" s="15"/>
      <c r="C613" s="15"/>
      <c r="D613" s="128"/>
      <c r="E613" s="128"/>
      <c r="F613" s="128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5"/>
      <c r="B614" s="15"/>
      <c r="C614" s="15"/>
      <c r="D614" s="128"/>
      <c r="E614" s="128"/>
      <c r="F614" s="128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5"/>
      <c r="B615" s="15"/>
      <c r="C615" s="15"/>
      <c r="D615" s="128"/>
      <c r="E615" s="128"/>
      <c r="F615" s="128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5"/>
      <c r="B616" s="15"/>
      <c r="C616" s="36"/>
      <c r="D616" s="128"/>
      <c r="E616" s="128"/>
      <c r="F616" s="128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5"/>
      <c r="B617" s="15"/>
      <c r="C617" s="133"/>
      <c r="D617" s="128"/>
      <c r="E617" s="128"/>
      <c r="F617" s="128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0" customHeight="1">
      <c r="A618" s="15"/>
      <c r="B618" s="15"/>
      <c r="C618" s="15"/>
      <c r="D618" s="128"/>
      <c r="E618" s="128"/>
      <c r="F618" s="128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0" customHeight="1">
      <c r="A619" s="15"/>
      <c r="B619" s="15"/>
      <c r="C619" s="36"/>
      <c r="D619" s="128"/>
      <c r="E619" s="128"/>
      <c r="F619" s="128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5"/>
      <c r="B620" s="133"/>
      <c r="C620" s="133"/>
      <c r="D620" s="128"/>
      <c r="E620" s="128"/>
      <c r="F620" s="128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5"/>
      <c r="B621" s="15"/>
      <c r="C621" s="15"/>
      <c r="D621" s="128"/>
      <c r="E621" s="128"/>
      <c r="F621" s="128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5"/>
      <c r="B622" s="36"/>
      <c r="C622" s="36"/>
      <c r="D622" s="128"/>
      <c r="E622" s="128"/>
      <c r="F622" s="128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5"/>
      <c r="B623" s="133"/>
      <c r="C623" s="133"/>
      <c r="D623" s="128"/>
      <c r="E623" s="128"/>
      <c r="F623" s="128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5"/>
      <c r="B624" s="15"/>
      <c r="C624" s="15"/>
      <c r="D624" s="128"/>
      <c r="E624" s="128"/>
      <c r="F624" s="128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0" customHeight="1">
      <c r="A625" s="15"/>
      <c r="B625" s="15"/>
      <c r="C625" s="15"/>
      <c r="D625" s="128"/>
      <c r="E625" s="128"/>
      <c r="F625" s="128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0" customHeight="1">
      <c r="A626" s="15"/>
      <c r="B626" s="15"/>
      <c r="C626" s="15"/>
      <c r="D626" s="128"/>
      <c r="E626" s="128"/>
      <c r="F626" s="128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0" customHeight="1">
      <c r="A627" s="15"/>
      <c r="B627" s="15"/>
      <c r="C627" s="15"/>
      <c r="D627" s="128"/>
      <c r="E627" s="119"/>
      <c r="F627" s="128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0" customHeight="1">
      <c r="A628" s="15"/>
      <c r="B628" s="15"/>
      <c r="C628" s="15"/>
      <c r="D628" s="128"/>
      <c r="E628" s="119"/>
      <c r="F628" s="128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0" customHeight="1">
      <c r="A629" s="15"/>
      <c r="B629" s="15"/>
      <c r="C629" s="15"/>
      <c r="D629" s="128"/>
      <c r="E629" s="119"/>
      <c r="F629" s="128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0" customHeight="1">
      <c r="A630" s="15"/>
      <c r="B630" s="15"/>
      <c r="C630" s="15"/>
      <c r="D630" s="128"/>
      <c r="E630" s="119"/>
      <c r="F630" s="128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0" customHeight="1">
      <c r="A631" s="15"/>
      <c r="B631" s="15"/>
      <c r="C631" s="15"/>
      <c r="D631" s="128"/>
      <c r="E631" s="119"/>
      <c r="F631" s="128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0" customHeight="1">
      <c r="A632" s="15"/>
      <c r="B632" s="15"/>
      <c r="C632" s="15"/>
      <c r="D632" s="128"/>
      <c r="E632" s="119"/>
      <c r="F632" s="128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0" customHeight="1">
      <c r="A633" s="15"/>
      <c r="B633" s="15"/>
      <c r="C633" s="15"/>
      <c r="D633" s="128"/>
      <c r="E633" s="119"/>
      <c r="F633" s="128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0" customHeight="1">
      <c r="A634" s="15"/>
      <c r="B634" s="15"/>
      <c r="C634" s="15"/>
      <c r="D634" s="128"/>
      <c r="E634" s="119"/>
      <c r="F634" s="128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0" customHeight="1">
      <c r="A635" s="15"/>
      <c r="B635" s="15"/>
      <c r="C635" s="15"/>
      <c r="D635" s="128"/>
      <c r="E635" s="119"/>
      <c r="F635" s="128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0" customHeight="1">
      <c r="A636" s="15"/>
      <c r="B636" s="15"/>
      <c r="C636" s="15"/>
      <c r="D636" s="128"/>
      <c r="E636" s="119"/>
      <c r="F636" s="128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0" customHeight="1">
      <c r="A637" s="15"/>
      <c r="B637" s="15"/>
      <c r="C637" s="15"/>
      <c r="D637" s="128"/>
      <c r="E637" s="119"/>
      <c r="F637" s="128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0" customHeight="1">
      <c r="A638" s="15"/>
      <c r="B638" s="15"/>
      <c r="C638" s="15"/>
      <c r="D638" s="128"/>
      <c r="E638" s="119"/>
      <c r="F638" s="128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0" customHeight="1">
      <c r="A639" s="15"/>
      <c r="B639" s="15"/>
      <c r="C639" s="15"/>
      <c r="D639" s="128"/>
      <c r="E639" s="119"/>
      <c r="F639" s="128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0" customHeight="1">
      <c r="A640" s="15"/>
      <c r="B640" s="15"/>
      <c r="C640" s="15"/>
      <c r="D640" s="128"/>
      <c r="E640" s="119"/>
      <c r="F640" s="128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0" customHeight="1">
      <c r="A641" s="15"/>
      <c r="B641" s="15"/>
      <c r="C641" s="15"/>
      <c r="D641" s="128"/>
      <c r="E641" s="119"/>
      <c r="F641" s="128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0" customHeight="1">
      <c r="A642" s="15"/>
      <c r="B642" s="15"/>
      <c r="C642" s="15"/>
      <c r="D642" s="128"/>
      <c r="E642" s="119"/>
      <c r="F642" s="128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0" customHeight="1">
      <c r="A643" s="15"/>
      <c r="B643" s="15"/>
      <c r="C643" s="15"/>
      <c r="D643" s="128"/>
      <c r="E643" s="119"/>
      <c r="F643" s="128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0" customHeight="1">
      <c r="A644" s="15"/>
      <c r="B644" s="15"/>
      <c r="C644" s="15"/>
      <c r="D644" s="128"/>
      <c r="E644" s="119"/>
      <c r="F644" s="128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0" customHeight="1">
      <c r="A645" s="15"/>
      <c r="B645" s="15"/>
      <c r="C645" s="15"/>
      <c r="D645" s="128"/>
      <c r="E645" s="119"/>
      <c r="F645" s="128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0" customHeight="1">
      <c r="A646" s="15"/>
      <c r="B646" s="15"/>
      <c r="C646" s="15"/>
      <c r="D646" s="128"/>
      <c r="E646" s="119"/>
      <c r="F646" s="128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0" customHeight="1">
      <c r="A647" s="15"/>
      <c r="B647" s="15"/>
      <c r="C647" s="15"/>
      <c r="D647" s="128"/>
      <c r="E647" s="119"/>
      <c r="F647" s="128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0" customHeight="1">
      <c r="A648" s="15"/>
      <c r="B648" s="15"/>
      <c r="C648" s="15"/>
      <c r="D648" s="128"/>
      <c r="E648" s="119"/>
      <c r="F648" s="128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0" customHeight="1">
      <c r="A649" s="15"/>
      <c r="B649" s="15"/>
      <c r="C649" s="15"/>
      <c r="D649" s="128"/>
      <c r="E649" s="119"/>
      <c r="F649" s="128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0" customHeight="1">
      <c r="A650" s="15"/>
      <c r="B650" s="15"/>
      <c r="C650" s="15"/>
      <c r="D650" s="128"/>
      <c r="E650" s="119"/>
      <c r="F650" s="128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0" customHeight="1">
      <c r="A651" s="15"/>
      <c r="B651" s="15"/>
      <c r="C651" s="15"/>
      <c r="D651" s="128"/>
      <c r="E651" s="119"/>
      <c r="F651" s="128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0" customHeight="1">
      <c r="A652" s="15"/>
      <c r="B652" s="15"/>
      <c r="C652" s="15"/>
      <c r="D652" s="128"/>
      <c r="E652" s="128"/>
      <c r="F652" s="128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0" customHeight="1">
      <c r="A653" s="15"/>
      <c r="B653" s="15"/>
      <c r="C653" s="36"/>
      <c r="D653" s="128"/>
      <c r="E653" s="128"/>
      <c r="F653" s="128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25.5" customHeight="1">
      <c r="A654" s="15"/>
      <c r="B654" s="15"/>
      <c r="C654" s="133"/>
      <c r="D654" s="128"/>
      <c r="E654" s="128"/>
      <c r="F654" s="128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0" customHeight="1">
      <c r="A655" s="15"/>
      <c r="B655" s="15"/>
      <c r="C655" s="15"/>
      <c r="D655" s="128"/>
      <c r="E655" s="128"/>
      <c r="F655" s="128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0" customHeight="1">
      <c r="A656" s="15"/>
      <c r="B656" s="15"/>
      <c r="C656" s="15"/>
      <c r="D656" s="128"/>
      <c r="E656" s="128"/>
      <c r="F656" s="128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0" customHeight="1">
      <c r="A657" s="15"/>
      <c r="B657" s="15"/>
      <c r="C657" s="15"/>
      <c r="D657" s="128"/>
      <c r="E657" s="128"/>
      <c r="F657" s="128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0" customHeight="1">
      <c r="A658" s="15"/>
      <c r="B658" s="15"/>
      <c r="C658" s="15"/>
      <c r="D658" s="128"/>
      <c r="E658" s="128"/>
      <c r="F658" s="128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0" customHeight="1">
      <c r="A659" s="15"/>
      <c r="B659" s="15"/>
      <c r="C659" s="15"/>
      <c r="D659" s="128"/>
      <c r="E659" s="128"/>
      <c r="F659" s="128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38.25" customHeight="1">
      <c r="A660" s="15"/>
      <c r="B660" s="15"/>
      <c r="C660" s="15"/>
      <c r="D660" s="128"/>
      <c r="E660" s="128"/>
      <c r="F660" s="128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25.5" customHeight="1">
      <c r="A661" s="15"/>
      <c r="B661" s="15"/>
      <c r="C661" s="15"/>
      <c r="D661" s="128"/>
      <c r="E661" s="128"/>
      <c r="F661" s="128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0" customHeight="1">
      <c r="A662" s="15"/>
      <c r="B662" s="15"/>
      <c r="C662" s="15"/>
      <c r="D662" s="128"/>
      <c r="E662" s="128"/>
      <c r="F662" s="128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0" customHeight="1">
      <c r="A663" s="15"/>
      <c r="B663" s="15"/>
      <c r="C663" s="15"/>
      <c r="D663" s="128"/>
      <c r="E663" s="128"/>
      <c r="F663" s="128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0" customHeight="1">
      <c r="A664" s="15"/>
      <c r="B664" s="15"/>
      <c r="C664" s="15"/>
      <c r="D664" s="128"/>
      <c r="E664" s="128"/>
      <c r="F664" s="128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0" customHeight="1">
      <c r="A665" s="15"/>
      <c r="B665" s="15"/>
      <c r="C665" s="15"/>
      <c r="D665" s="128"/>
      <c r="E665" s="128"/>
      <c r="F665" s="128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0" customHeight="1">
      <c r="A666" s="15"/>
      <c r="B666" s="15"/>
      <c r="C666" s="15"/>
      <c r="D666" s="128"/>
      <c r="E666" s="128"/>
      <c r="F666" s="128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0" customHeight="1">
      <c r="A667" s="15"/>
      <c r="B667" s="15"/>
      <c r="C667" s="36"/>
      <c r="D667" s="128"/>
      <c r="E667" s="128"/>
      <c r="F667" s="128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0" customHeight="1">
      <c r="A668" s="15"/>
      <c r="B668" s="15"/>
      <c r="C668" s="133"/>
      <c r="D668" s="128"/>
      <c r="E668" s="128"/>
      <c r="F668" s="128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0" customHeight="1">
      <c r="A669" s="15"/>
      <c r="B669" s="15"/>
      <c r="C669" s="15"/>
      <c r="D669" s="128"/>
      <c r="E669" s="128"/>
      <c r="F669" s="128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0" customHeight="1">
      <c r="A670" s="15"/>
      <c r="B670" s="15"/>
      <c r="C670" s="15"/>
      <c r="D670" s="128"/>
      <c r="E670" s="128"/>
      <c r="F670" s="128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0" customHeight="1">
      <c r="A671" s="15"/>
      <c r="B671" s="15"/>
      <c r="C671" s="15"/>
      <c r="D671" s="128"/>
      <c r="E671" s="128"/>
      <c r="F671" s="128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0" customHeight="1">
      <c r="A672" s="15"/>
      <c r="B672" s="15"/>
      <c r="C672" s="15"/>
      <c r="D672" s="128"/>
      <c r="E672" s="128"/>
      <c r="F672" s="128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0" customHeight="1">
      <c r="A673" s="15"/>
      <c r="B673" s="15"/>
      <c r="C673" s="15"/>
      <c r="D673" s="128"/>
      <c r="E673" s="128"/>
      <c r="F673" s="128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0" customHeight="1">
      <c r="A674" s="15"/>
      <c r="B674" s="15"/>
      <c r="C674" s="36"/>
      <c r="D674" s="128"/>
      <c r="E674" s="128"/>
      <c r="F674" s="128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0" customHeight="1">
      <c r="A675" s="15"/>
      <c r="B675" s="15"/>
      <c r="C675" s="133"/>
      <c r="D675" s="128"/>
      <c r="E675" s="128"/>
      <c r="F675" s="128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0" customHeight="1">
      <c r="A676" s="15"/>
      <c r="B676" s="36"/>
      <c r="C676" s="15"/>
      <c r="D676" s="128"/>
      <c r="E676" s="128"/>
      <c r="F676" s="128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5"/>
      <c r="B677" s="133"/>
      <c r="C677" s="133"/>
      <c r="D677" s="128"/>
      <c r="E677" s="128"/>
      <c r="F677" s="128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5"/>
      <c r="B678" s="15"/>
      <c r="C678" s="15"/>
      <c r="D678" s="128"/>
      <c r="E678" s="128"/>
      <c r="F678" s="128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5"/>
      <c r="B679" s="15"/>
      <c r="C679" s="15"/>
      <c r="D679" s="128"/>
      <c r="E679" s="128"/>
      <c r="F679" s="128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25.5" customHeight="1">
      <c r="A680" s="15"/>
      <c r="B680" s="15"/>
      <c r="C680" s="15"/>
      <c r="D680" s="128"/>
      <c r="E680" s="128"/>
      <c r="F680" s="128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5"/>
      <c r="B681" s="15"/>
      <c r="C681" s="15"/>
      <c r="D681" s="128"/>
      <c r="E681" s="119"/>
      <c r="F681" s="128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5"/>
      <c r="B682" s="15"/>
      <c r="C682" s="15"/>
      <c r="D682" s="128"/>
      <c r="E682" s="119"/>
      <c r="F682" s="128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5"/>
      <c r="B683" s="15"/>
      <c r="C683" s="15"/>
      <c r="D683" s="128"/>
      <c r="E683" s="119"/>
      <c r="F683" s="128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5"/>
      <c r="B684" s="15"/>
      <c r="C684" s="15"/>
      <c r="D684" s="128"/>
      <c r="E684" s="119"/>
      <c r="F684" s="128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5"/>
      <c r="B685" s="15"/>
      <c r="C685" s="15"/>
      <c r="D685" s="128"/>
      <c r="E685" s="119"/>
      <c r="F685" s="128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0" customHeight="1">
      <c r="A686" s="15"/>
      <c r="B686" s="15"/>
      <c r="C686" s="15"/>
      <c r="D686" s="128"/>
      <c r="E686" s="119"/>
      <c r="F686" s="128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0" customHeight="1">
      <c r="A687" s="15"/>
      <c r="B687" s="15"/>
      <c r="C687" s="15"/>
      <c r="D687" s="128"/>
      <c r="E687" s="119"/>
      <c r="F687" s="128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0" customHeight="1">
      <c r="A688" s="15"/>
      <c r="B688" s="15"/>
      <c r="C688" s="15"/>
      <c r="D688" s="128"/>
      <c r="E688" s="119"/>
      <c r="F688" s="128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0" customHeight="1">
      <c r="A689" s="15"/>
      <c r="B689" s="15"/>
      <c r="C689" s="15"/>
      <c r="D689" s="128"/>
      <c r="E689" s="119"/>
      <c r="F689" s="128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0" customHeight="1">
      <c r="A690" s="15"/>
      <c r="B690" s="15"/>
      <c r="C690" s="15"/>
      <c r="D690" s="128"/>
      <c r="E690" s="119"/>
      <c r="F690" s="128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0" customHeight="1">
      <c r="A691" s="15"/>
      <c r="B691" s="15"/>
      <c r="C691" s="15"/>
      <c r="D691" s="128"/>
      <c r="E691" s="119"/>
      <c r="F691" s="128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0" customHeight="1">
      <c r="A692" s="15"/>
      <c r="B692" s="15"/>
      <c r="C692" s="15"/>
      <c r="D692" s="128"/>
      <c r="E692" s="119"/>
      <c r="F692" s="128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0" customHeight="1">
      <c r="A693" s="15"/>
      <c r="B693" s="15"/>
      <c r="C693" s="15"/>
      <c r="D693" s="128"/>
      <c r="E693" s="119"/>
      <c r="F693" s="128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0" customHeight="1">
      <c r="A694" s="15"/>
      <c r="B694" s="15"/>
      <c r="C694" s="15"/>
      <c r="D694" s="128"/>
      <c r="E694" s="119"/>
      <c r="F694" s="128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0" customHeight="1">
      <c r="A695" s="15"/>
      <c r="B695" s="15"/>
      <c r="C695" s="15"/>
      <c r="D695" s="128"/>
      <c r="E695" s="119"/>
      <c r="F695" s="128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0" customHeight="1">
      <c r="A696" s="15"/>
      <c r="B696" s="15"/>
      <c r="C696" s="15"/>
      <c r="D696" s="128"/>
      <c r="E696" s="119"/>
      <c r="F696" s="128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0" customHeight="1">
      <c r="A697" s="15"/>
      <c r="B697" s="15"/>
      <c r="C697" s="15"/>
      <c r="D697" s="128"/>
      <c r="E697" s="119"/>
      <c r="F697" s="128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0" customHeight="1">
      <c r="A698" s="15"/>
      <c r="B698" s="15"/>
      <c r="C698" s="15"/>
      <c r="D698" s="128"/>
      <c r="E698" s="119"/>
      <c r="F698" s="128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0" customHeight="1">
      <c r="A699" s="15"/>
      <c r="B699" s="15"/>
      <c r="C699" s="15"/>
      <c r="D699" s="128"/>
      <c r="E699" s="119"/>
      <c r="F699" s="128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0" customHeight="1">
      <c r="A700" s="15"/>
      <c r="B700" s="15"/>
      <c r="C700" s="15"/>
      <c r="D700" s="128"/>
      <c r="E700" s="119"/>
      <c r="F700" s="128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0" customHeight="1">
      <c r="A701" s="15"/>
      <c r="B701" s="15"/>
      <c r="C701" s="15"/>
      <c r="D701" s="128"/>
      <c r="E701" s="119"/>
      <c r="F701" s="128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0" customHeight="1">
      <c r="A702" s="15"/>
      <c r="B702" s="15"/>
      <c r="C702" s="15"/>
      <c r="D702" s="128"/>
      <c r="E702" s="119"/>
      <c r="F702" s="128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0" customHeight="1">
      <c r="A703" s="15"/>
      <c r="B703" s="15"/>
      <c r="C703" s="15"/>
      <c r="D703" s="128"/>
      <c r="E703" s="119"/>
      <c r="F703" s="128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25.5" customHeight="1">
      <c r="A704" s="15"/>
      <c r="B704" s="15"/>
      <c r="C704" s="15"/>
      <c r="D704" s="128"/>
      <c r="E704" s="119"/>
      <c r="F704" s="128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0" customHeight="1">
      <c r="A705" s="15"/>
      <c r="B705" s="15"/>
      <c r="C705" s="15"/>
      <c r="D705" s="128"/>
      <c r="E705" s="119"/>
      <c r="F705" s="128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0" customHeight="1">
      <c r="A706" s="15"/>
      <c r="B706" s="15"/>
      <c r="C706" s="15"/>
      <c r="D706" s="128"/>
      <c r="E706" s="119"/>
      <c r="F706" s="128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5"/>
      <c r="B707" s="15"/>
      <c r="C707" s="15"/>
      <c r="D707" s="128"/>
      <c r="E707" s="128"/>
      <c r="F707" s="128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5"/>
      <c r="B708" s="15"/>
      <c r="C708" s="36"/>
      <c r="D708" s="128"/>
      <c r="E708" s="128"/>
      <c r="F708" s="128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25.5" customHeight="1">
      <c r="A709" s="15"/>
      <c r="B709" s="15"/>
      <c r="C709" s="133"/>
      <c r="D709" s="128"/>
      <c r="E709" s="128"/>
      <c r="F709" s="128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0" customHeight="1">
      <c r="A710" s="15"/>
      <c r="B710" s="15"/>
      <c r="C710" s="15"/>
      <c r="D710" s="128"/>
      <c r="E710" s="128"/>
      <c r="F710" s="128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0" customHeight="1">
      <c r="A711" s="15"/>
      <c r="B711" s="15"/>
      <c r="C711" s="15"/>
      <c r="D711" s="128"/>
      <c r="E711" s="128"/>
      <c r="F711" s="128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0" customHeight="1">
      <c r="A712" s="15"/>
      <c r="B712" s="15"/>
      <c r="C712" s="15"/>
      <c r="D712" s="128"/>
      <c r="E712" s="128"/>
      <c r="F712" s="128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0" customHeight="1">
      <c r="A713" s="15"/>
      <c r="B713" s="15"/>
      <c r="C713" s="15"/>
      <c r="D713" s="128"/>
      <c r="E713" s="128"/>
      <c r="F713" s="128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0" customHeight="1">
      <c r="A714" s="15"/>
      <c r="B714" s="15"/>
      <c r="C714" s="15"/>
      <c r="D714" s="128"/>
      <c r="E714" s="128"/>
      <c r="F714" s="128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0" customHeight="1">
      <c r="A715" s="15"/>
      <c r="B715" s="15"/>
      <c r="C715" s="15"/>
      <c r="D715" s="128"/>
      <c r="E715" s="128"/>
      <c r="F715" s="128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0" customHeight="1">
      <c r="A716" s="15"/>
      <c r="B716" s="15"/>
      <c r="C716" s="15"/>
      <c r="D716" s="128"/>
      <c r="E716" s="128"/>
      <c r="F716" s="128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0" customHeight="1">
      <c r="A717" s="15"/>
      <c r="B717" s="15"/>
      <c r="C717" s="15"/>
      <c r="D717" s="128"/>
      <c r="E717" s="128"/>
      <c r="F717" s="128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0" customHeight="1">
      <c r="A718" s="15"/>
      <c r="B718" s="15"/>
      <c r="C718" s="15"/>
      <c r="D718" s="128"/>
      <c r="E718" s="128"/>
      <c r="F718" s="128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0" customHeight="1">
      <c r="A719" s="15"/>
      <c r="B719" s="15"/>
      <c r="C719" s="36"/>
      <c r="D719" s="128"/>
      <c r="E719" s="128"/>
      <c r="F719" s="128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25.5" customHeight="1">
      <c r="A720" s="15"/>
      <c r="B720" s="15"/>
      <c r="C720" s="133"/>
      <c r="D720" s="128"/>
      <c r="E720" s="128"/>
      <c r="F720" s="128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25.5" customHeight="1">
      <c r="A721" s="15"/>
      <c r="B721" s="15"/>
      <c r="C721" s="15"/>
      <c r="D721" s="128"/>
      <c r="E721" s="128"/>
      <c r="F721" s="128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0" customHeight="1">
      <c r="A722" s="15"/>
      <c r="B722" s="15"/>
      <c r="C722" s="15"/>
      <c r="D722" s="128"/>
      <c r="E722" s="128"/>
      <c r="F722" s="128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0" customHeight="1">
      <c r="A723" s="15"/>
      <c r="B723" s="15"/>
      <c r="C723" s="15"/>
      <c r="D723" s="128"/>
      <c r="E723" s="128"/>
      <c r="F723" s="128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0" customHeight="1">
      <c r="A724" s="15"/>
      <c r="B724" s="15"/>
      <c r="C724" s="15"/>
      <c r="D724" s="128"/>
      <c r="E724" s="128"/>
      <c r="F724" s="128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0" customHeight="1">
      <c r="A725" s="15"/>
      <c r="B725" s="15"/>
      <c r="C725" s="15"/>
      <c r="D725" s="128"/>
      <c r="E725" s="128"/>
      <c r="F725" s="128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0" customHeight="1">
      <c r="A726" s="15"/>
      <c r="B726" s="15"/>
      <c r="C726" s="15"/>
      <c r="D726" s="128"/>
      <c r="E726" s="128"/>
      <c r="F726" s="128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24.0" customHeight="1">
      <c r="A727" s="15"/>
      <c r="B727" s="15"/>
      <c r="C727" s="133"/>
      <c r="D727" s="128"/>
      <c r="E727" s="128"/>
      <c r="F727" s="128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24.0" customHeight="1">
      <c r="A728" s="15"/>
      <c r="B728" s="36"/>
      <c r="C728" s="15"/>
      <c r="D728" s="128"/>
      <c r="E728" s="128"/>
      <c r="F728" s="128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5"/>
      <c r="B729" s="133"/>
      <c r="C729" s="133"/>
      <c r="D729" s="128"/>
      <c r="E729" s="128"/>
      <c r="F729" s="128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5"/>
      <c r="B730" s="15"/>
      <c r="C730" s="15"/>
      <c r="D730" s="128"/>
      <c r="E730" s="128"/>
      <c r="F730" s="128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5"/>
      <c r="B731" s="15"/>
      <c r="C731" s="15"/>
      <c r="D731" s="128"/>
      <c r="E731" s="128"/>
      <c r="F731" s="128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25.5" customHeight="1">
      <c r="A732" s="15"/>
      <c r="B732" s="15"/>
      <c r="C732" s="15"/>
      <c r="D732" s="128"/>
      <c r="E732" s="128"/>
      <c r="F732" s="128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5"/>
      <c r="B733" s="15"/>
      <c r="C733" s="15"/>
      <c r="D733" s="128"/>
      <c r="E733" s="119"/>
      <c r="F733" s="128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5"/>
      <c r="B734" s="15"/>
      <c r="C734" s="15"/>
      <c r="D734" s="128"/>
      <c r="E734" s="119"/>
      <c r="F734" s="128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5"/>
      <c r="B735" s="15"/>
      <c r="C735" s="15"/>
      <c r="D735" s="128"/>
      <c r="E735" s="119"/>
      <c r="F735" s="128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5"/>
      <c r="B736" s="15"/>
      <c r="C736" s="15"/>
      <c r="D736" s="128"/>
      <c r="E736" s="119"/>
      <c r="F736" s="128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5"/>
      <c r="B737" s="15"/>
      <c r="C737" s="15"/>
      <c r="D737" s="128"/>
      <c r="E737" s="119"/>
      <c r="F737" s="128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0" customHeight="1">
      <c r="A738" s="15"/>
      <c r="B738" s="15"/>
      <c r="C738" s="15"/>
      <c r="D738" s="128"/>
      <c r="E738" s="119"/>
      <c r="F738" s="128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0" customHeight="1">
      <c r="A739" s="15"/>
      <c r="B739" s="15"/>
      <c r="C739" s="15"/>
      <c r="D739" s="128"/>
      <c r="E739" s="119"/>
      <c r="F739" s="128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0" customHeight="1">
      <c r="A740" s="15"/>
      <c r="B740" s="15"/>
      <c r="C740" s="15"/>
      <c r="D740" s="128"/>
      <c r="E740" s="119"/>
      <c r="F740" s="128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0" customHeight="1">
      <c r="A741" s="15"/>
      <c r="B741" s="15"/>
      <c r="C741" s="15"/>
      <c r="D741" s="128"/>
      <c r="E741" s="119"/>
      <c r="F741" s="128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0" customHeight="1">
      <c r="A742" s="15"/>
      <c r="B742" s="15"/>
      <c r="C742" s="15"/>
      <c r="D742" s="128"/>
      <c r="E742" s="119"/>
      <c r="F742" s="128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0" customHeight="1">
      <c r="A743" s="15"/>
      <c r="B743" s="15"/>
      <c r="C743" s="15"/>
      <c r="D743" s="128"/>
      <c r="E743" s="119"/>
      <c r="F743" s="128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0" customHeight="1">
      <c r="A744" s="15"/>
      <c r="B744" s="15"/>
      <c r="C744" s="15"/>
      <c r="D744" s="128"/>
      <c r="E744" s="119"/>
      <c r="F744" s="128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0" customHeight="1">
      <c r="A745" s="15"/>
      <c r="B745" s="15"/>
      <c r="C745" s="15"/>
      <c r="D745" s="128"/>
      <c r="E745" s="119"/>
      <c r="F745" s="128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0" customHeight="1">
      <c r="A746" s="15"/>
      <c r="B746" s="15"/>
      <c r="C746" s="15"/>
      <c r="D746" s="128"/>
      <c r="E746" s="119"/>
      <c r="F746" s="128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0" customHeight="1">
      <c r="A747" s="15"/>
      <c r="B747" s="15"/>
      <c r="C747" s="15"/>
      <c r="D747" s="128"/>
      <c r="E747" s="119"/>
      <c r="F747" s="128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0" customHeight="1">
      <c r="A748" s="15"/>
      <c r="B748" s="15"/>
      <c r="C748" s="15"/>
      <c r="D748" s="128"/>
      <c r="E748" s="119"/>
      <c r="F748" s="128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0" customHeight="1">
      <c r="A749" s="15"/>
      <c r="B749" s="15"/>
      <c r="C749" s="15"/>
      <c r="D749" s="128"/>
      <c r="E749" s="119"/>
      <c r="F749" s="128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0" customHeight="1">
      <c r="A750" s="15"/>
      <c r="B750" s="15"/>
      <c r="C750" s="15"/>
      <c r="D750" s="128"/>
      <c r="E750" s="119"/>
      <c r="F750" s="128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0" customHeight="1">
      <c r="A751" s="15"/>
      <c r="B751" s="15"/>
      <c r="C751" s="15"/>
      <c r="D751" s="128"/>
      <c r="E751" s="119"/>
      <c r="F751" s="128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0" customHeight="1">
      <c r="A752" s="15"/>
      <c r="B752" s="15"/>
      <c r="C752" s="15"/>
      <c r="D752" s="128"/>
      <c r="E752" s="119"/>
      <c r="F752" s="128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0" customHeight="1">
      <c r="A753" s="15"/>
      <c r="B753" s="15"/>
      <c r="C753" s="15"/>
      <c r="D753" s="128"/>
      <c r="E753" s="119"/>
      <c r="F753" s="128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0" customHeight="1">
      <c r="A754" s="15"/>
      <c r="B754" s="15"/>
      <c r="C754" s="15"/>
      <c r="D754" s="128"/>
      <c r="E754" s="119"/>
      <c r="F754" s="128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0" customHeight="1">
      <c r="A755" s="15"/>
      <c r="B755" s="15"/>
      <c r="C755" s="15"/>
      <c r="D755" s="128"/>
      <c r="E755" s="119"/>
      <c r="F755" s="128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0" customHeight="1">
      <c r="A756" s="15"/>
      <c r="B756" s="15"/>
      <c r="C756" s="15"/>
      <c r="D756" s="128"/>
      <c r="E756" s="119"/>
      <c r="F756" s="128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25.5" customHeight="1">
      <c r="A757" s="15"/>
      <c r="B757" s="15"/>
      <c r="C757" s="15"/>
      <c r="D757" s="128"/>
      <c r="E757" s="119"/>
      <c r="F757" s="128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0" customHeight="1">
      <c r="A758" s="15"/>
      <c r="B758" s="15"/>
      <c r="C758" s="15"/>
      <c r="D758" s="128"/>
      <c r="E758" s="119"/>
      <c r="F758" s="128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0" customHeight="1">
      <c r="A759" s="15"/>
      <c r="B759" s="15"/>
      <c r="C759" s="15"/>
      <c r="D759" s="128"/>
      <c r="E759" s="119"/>
      <c r="F759" s="128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5"/>
      <c r="B760" s="15"/>
      <c r="C760" s="15"/>
      <c r="D760" s="128"/>
      <c r="E760" s="128"/>
      <c r="F760" s="128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5"/>
      <c r="B761" s="15"/>
      <c r="C761" s="36"/>
      <c r="D761" s="128"/>
      <c r="E761" s="128"/>
      <c r="F761" s="128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25.5" customHeight="1">
      <c r="A762" s="15"/>
      <c r="B762" s="15"/>
      <c r="C762" s="133"/>
      <c r="D762" s="128"/>
      <c r="E762" s="128"/>
      <c r="F762" s="128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0" customHeight="1">
      <c r="A763" s="15"/>
      <c r="B763" s="15"/>
      <c r="C763" s="15"/>
      <c r="D763" s="128"/>
      <c r="E763" s="128"/>
      <c r="F763" s="128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0" customHeight="1">
      <c r="A764" s="15"/>
      <c r="B764" s="15"/>
      <c r="C764" s="15"/>
      <c r="D764" s="128"/>
      <c r="E764" s="128"/>
      <c r="F764" s="128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0" customHeight="1">
      <c r="A765" s="15"/>
      <c r="B765" s="15"/>
      <c r="C765" s="15"/>
      <c r="D765" s="128"/>
      <c r="E765" s="128"/>
      <c r="F765" s="128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25.5" customHeight="1">
      <c r="A766" s="15"/>
      <c r="B766" s="15"/>
      <c r="C766" s="15"/>
      <c r="D766" s="128"/>
      <c r="E766" s="128"/>
      <c r="F766" s="128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5"/>
      <c r="B767" s="15"/>
      <c r="C767" s="15"/>
      <c r="D767" s="128"/>
      <c r="E767" s="128"/>
      <c r="F767" s="128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25.5" customHeight="1">
      <c r="A768" s="15"/>
      <c r="B768" s="15"/>
      <c r="C768" s="15"/>
      <c r="D768" s="128"/>
      <c r="E768" s="128"/>
      <c r="F768" s="128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5"/>
      <c r="B769" s="15"/>
      <c r="C769" s="15"/>
      <c r="D769" s="128"/>
      <c r="E769" s="128"/>
      <c r="F769" s="128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5"/>
      <c r="B770" s="15"/>
      <c r="C770" s="15"/>
      <c r="D770" s="128"/>
      <c r="E770" s="128"/>
      <c r="F770" s="128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5"/>
      <c r="B771" s="15"/>
      <c r="C771" s="15"/>
      <c r="D771" s="128"/>
      <c r="E771" s="128"/>
      <c r="F771" s="128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25.5" customHeight="1">
      <c r="A772" s="15"/>
      <c r="B772" s="15"/>
      <c r="C772" s="15"/>
      <c r="D772" s="128"/>
      <c r="E772" s="128"/>
      <c r="F772" s="128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5"/>
      <c r="B773" s="15"/>
      <c r="C773" s="15"/>
      <c r="D773" s="128"/>
      <c r="E773" s="128"/>
      <c r="F773" s="128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5"/>
      <c r="B774" s="15"/>
      <c r="C774" s="15"/>
      <c r="D774" s="128"/>
      <c r="E774" s="128"/>
      <c r="F774" s="128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5"/>
      <c r="B775" s="15"/>
      <c r="C775" s="15"/>
      <c r="D775" s="128"/>
      <c r="E775" s="128"/>
      <c r="F775" s="128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5"/>
      <c r="B776" s="15"/>
      <c r="C776" s="36"/>
      <c r="D776" s="128"/>
      <c r="E776" s="128"/>
      <c r="F776" s="128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25.5" customHeight="1">
      <c r="A777" s="15"/>
      <c r="B777" s="15"/>
      <c r="C777" s="133"/>
      <c r="D777" s="128"/>
      <c r="E777" s="128"/>
      <c r="F777" s="128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25.5" customHeight="1">
      <c r="A778" s="15"/>
      <c r="B778" s="15"/>
      <c r="C778" s="15"/>
      <c r="D778" s="128"/>
      <c r="E778" s="128"/>
      <c r="F778" s="128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0" customHeight="1">
      <c r="A779" s="15"/>
      <c r="B779" s="15"/>
      <c r="C779" s="15"/>
      <c r="D779" s="128"/>
      <c r="E779" s="128"/>
      <c r="F779" s="128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0" customHeight="1">
      <c r="A780" s="15"/>
      <c r="B780" s="15"/>
      <c r="C780" s="15"/>
      <c r="D780" s="128"/>
      <c r="E780" s="128"/>
      <c r="F780" s="128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5"/>
      <c r="B781" s="15"/>
      <c r="C781" s="15"/>
      <c r="D781" s="128"/>
      <c r="E781" s="128"/>
      <c r="F781" s="128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5"/>
      <c r="B782" s="15"/>
      <c r="C782" s="15"/>
      <c r="D782" s="128"/>
      <c r="E782" s="128"/>
      <c r="F782" s="128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5"/>
      <c r="B783" s="15"/>
      <c r="C783" s="15"/>
      <c r="D783" s="128"/>
      <c r="E783" s="128"/>
      <c r="F783" s="128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5"/>
      <c r="B784" s="15"/>
      <c r="C784" s="133"/>
      <c r="D784" s="128"/>
      <c r="E784" s="128"/>
      <c r="F784" s="128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5"/>
      <c r="B785" s="36"/>
      <c r="C785" s="15"/>
      <c r="D785" s="128"/>
      <c r="E785" s="128"/>
      <c r="F785" s="128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5"/>
      <c r="B786" s="133"/>
      <c r="C786" s="133"/>
      <c r="D786" s="128"/>
      <c r="E786" s="128"/>
      <c r="F786" s="128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5"/>
      <c r="B787" s="15"/>
      <c r="C787" s="15"/>
      <c r="D787" s="128"/>
      <c r="E787" s="128"/>
      <c r="F787" s="128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5"/>
      <c r="B788" s="15"/>
      <c r="C788" s="15"/>
      <c r="D788" s="128"/>
      <c r="E788" s="128"/>
      <c r="F788" s="13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0" customHeight="1">
      <c r="A789" s="15"/>
      <c r="B789" s="15"/>
      <c r="C789" s="15"/>
      <c r="D789" s="128"/>
      <c r="E789" s="119"/>
      <c r="F789" s="15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0" customHeight="1">
      <c r="A790" s="15"/>
      <c r="B790" s="15"/>
      <c r="C790" s="15"/>
      <c r="D790" s="128"/>
      <c r="E790" s="119"/>
      <c r="F790" s="15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0" customHeight="1">
      <c r="A791" s="15"/>
      <c r="B791" s="15"/>
      <c r="C791" s="15"/>
      <c r="D791" s="128"/>
      <c r="E791" s="119"/>
      <c r="F791" s="15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0" customHeight="1">
      <c r="A792" s="15"/>
      <c r="B792" s="15"/>
      <c r="C792" s="15"/>
      <c r="D792" s="128"/>
      <c r="E792" s="119"/>
      <c r="F792" s="15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0" customHeight="1">
      <c r="A793" s="15"/>
      <c r="B793" s="15"/>
      <c r="C793" s="15"/>
      <c r="D793" s="128"/>
      <c r="E793" s="119"/>
      <c r="F793" s="36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25.5" customHeight="1">
      <c r="A794" s="15"/>
      <c r="B794" s="15"/>
      <c r="C794" s="133"/>
      <c r="D794" s="128"/>
      <c r="E794" s="128"/>
      <c r="F794" s="128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5"/>
      <c r="B795" s="15"/>
      <c r="C795" s="15"/>
      <c r="D795" s="128"/>
      <c r="E795" s="128"/>
      <c r="F795" s="128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5"/>
      <c r="B796" s="15"/>
      <c r="C796" s="15"/>
      <c r="D796" s="128"/>
      <c r="E796" s="128"/>
      <c r="F796" s="128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5"/>
      <c r="B797" s="15"/>
      <c r="C797" s="15"/>
      <c r="D797" s="128"/>
      <c r="E797" s="128"/>
      <c r="F797" s="128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5"/>
      <c r="B798" s="133"/>
      <c r="C798" s="133"/>
      <c r="D798" s="128"/>
      <c r="E798" s="128"/>
      <c r="F798" s="128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0" customHeight="1">
      <c r="A799" s="15"/>
      <c r="B799" s="15"/>
      <c r="C799" s="15"/>
      <c r="D799" s="128"/>
      <c r="E799" s="128"/>
      <c r="F799" s="128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0" customHeight="1">
      <c r="A800" s="36"/>
      <c r="B800" s="36"/>
      <c r="C800" s="36"/>
      <c r="D800" s="128"/>
      <c r="E800" s="128"/>
      <c r="F800" s="128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33"/>
      <c r="B801" s="133"/>
      <c r="C801" s="133"/>
      <c r="D801" s="128"/>
      <c r="E801" s="119"/>
      <c r="F801" s="128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25.5" customHeight="1">
      <c r="A802" s="15"/>
      <c r="B802" s="15"/>
      <c r="C802" s="15"/>
      <c r="D802" s="128"/>
      <c r="E802" s="119"/>
      <c r="F802" s="128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25.5" customHeight="1">
      <c r="A803" s="15"/>
      <c r="B803" s="15"/>
      <c r="C803" s="15"/>
      <c r="D803" s="128"/>
      <c r="E803" s="119"/>
      <c r="F803" s="128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0" customHeight="1">
      <c r="A804" s="15"/>
      <c r="B804" s="15"/>
      <c r="C804" s="15"/>
      <c r="D804" s="128"/>
      <c r="E804" s="119"/>
      <c r="F804" s="128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0" customHeight="1">
      <c r="A805" s="15"/>
      <c r="B805" s="15"/>
      <c r="C805" s="15"/>
      <c r="D805" s="128"/>
      <c r="E805" s="119"/>
      <c r="F805" s="128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0" customHeight="1">
      <c r="A806" s="15"/>
      <c r="B806" s="15"/>
      <c r="C806" s="15"/>
      <c r="D806" s="128"/>
      <c r="E806" s="119"/>
      <c r="F806" s="128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0" customHeight="1">
      <c r="A807" s="15"/>
      <c r="B807" s="15"/>
      <c r="C807" s="15"/>
      <c r="D807" s="128"/>
      <c r="E807" s="119"/>
      <c r="F807" s="128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0" customHeight="1">
      <c r="A808" s="15"/>
      <c r="B808" s="15"/>
      <c r="C808" s="36"/>
      <c r="D808" s="128"/>
      <c r="E808" s="119"/>
      <c r="F808" s="128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0" customHeight="1">
      <c r="A809" s="15"/>
      <c r="B809" s="15"/>
      <c r="C809" s="119"/>
      <c r="D809" s="128"/>
      <c r="E809" s="119"/>
      <c r="F809" s="128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0" customHeight="1">
      <c r="A810" s="15"/>
      <c r="B810" s="15"/>
      <c r="C810" s="133"/>
      <c r="D810" s="128"/>
      <c r="E810" s="119"/>
      <c r="F810" s="128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0" customHeight="1">
      <c r="A811" s="15"/>
      <c r="B811" s="15"/>
      <c r="C811" s="15"/>
      <c r="D811" s="128"/>
      <c r="E811" s="119"/>
      <c r="F811" s="128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0" customHeight="1">
      <c r="A812" s="15"/>
      <c r="B812" s="15"/>
      <c r="C812" s="15"/>
      <c r="D812" s="128"/>
      <c r="E812" s="119"/>
      <c r="F812" s="128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0" customHeight="1">
      <c r="A813" s="15"/>
      <c r="B813" s="36"/>
      <c r="C813" s="36"/>
      <c r="D813" s="128"/>
      <c r="E813" s="119"/>
      <c r="F813" s="128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25.5" customHeight="1">
      <c r="A814" s="15"/>
      <c r="B814" s="133"/>
      <c r="C814" s="133"/>
      <c r="D814" s="128"/>
      <c r="E814" s="119"/>
      <c r="F814" s="128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0" customHeight="1">
      <c r="A815" s="15"/>
      <c r="B815" s="15"/>
      <c r="C815" s="15"/>
      <c r="D815" s="128"/>
      <c r="E815" s="119"/>
      <c r="F815" s="128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0" customHeight="1">
      <c r="A816" s="15"/>
      <c r="B816" s="15"/>
      <c r="C816" s="15"/>
      <c r="D816" s="128"/>
      <c r="E816" s="119"/>
      <c r="F816" s="128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0" customHeight="1">
      <c r="A817" s="15"/>
      <c r="B817" s="15"/>
      <c r="C817" s="15"/>
      <c r="D817" s="128"/>
      <c r="E817" s="119"/>
      <c r="F817" s="128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0" customHeight="1">
      <c r="A818" s="15"/>
      <c r="B818" s="15"/>
      <c r="C818" s="15"/>
      <c r="D818" s="128"/>
      <c r="E818" s="119"/>
      <c r="F818" s="128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0" customHeight="1">
      <c r="A819" s="15"/>
      <c r="B819" s="15"/>
      <c r="C819" s="15"/>
      <c r="D819" s="128"/>
      <c r="E819" s="119"/>
      <c r="F819" s="128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0" customHeight="1">
      <c r="A820" s="15"/>
      <c r="B820" s="15"/>
      <c r="C820" s="15"/>
      <c r="D820" s="128"/>
      <c r="E820" s="119"/>
      <c r="F820" s="128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0" customHeight="1">
      <c r="A821" s="15"/>
      <c r="B821" s="15"/>
      <c r="C821" s="15"/>
      <c r="D821" s="128"/>
      <c r="E821" s="119"/>
      <c r="F821" s="128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0" customHeight="1">
      <c r="A822" s="15"/>
      <c r="B822" s="36"/>
      <c r="C822" s="36"/>
      <c r="D822" s="128"/>
      <c r="E822" s="119"/>
      <c r="F822" s="128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0" customHeight="1">
      <c r="A823" s="15"/>
      <c r="B823" s="133"/>
      <c r="C823" s="133"/>
      <c r="D823" s="128"/>
      <c r="E823" s="119"/>
      <c r="F823" s="128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0" customHeight="1">
      <c r="A824" s="15"/>
      <c r="B824" s="15"/>
      <c r="C824" s="15"/>
      <c r="D824" s="128"/>
      <c r="E824" s="119"/>
      <c r="F824" s="128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0" customHeight="1">
      <c r="A825" s="15"/>
      <c r="B825" s="15"/>
      <c r="C825" s="15"/>
      <c r="D825" s="128"/>
      <c r="E825" s="119"/>
      <c r="F825" s="128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0" customHeight="1">
      <c r="A826" s="15"/>
      <c r="B826" s="15"/>
      <c r="C826" s="15"/>
      <c r="D826" s="128"/>
      <c r="E826" s="119"/>
      <c r="F826" s="128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0" customHeight="1">
      <c r="A827" s="15"/>
      <c r="B827" s="36"/>
      <c r="C827" s="36"/>
      <c r="D827" s="128"/>
      <c r="E827" s="119"/>
      <c r="F827" s="128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0" customHeight="1">
      <c r="A828" s="15"/>
      <c r="B828" s="133"/>
      <c r="C828" s="133"/>
      <c r="D828" s="128"/>
      <c r="E828" s="119"/>
      <c r="F828" s="128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0" customHeight="1">
      <c r="A829" s="36"/>
      <c r="B829" s="36"/>
      <c r="C829" s="36"/>
      <c r="D829" s="128"/>
      <c r="E829" s="119"/>
      <c r="F829" s="128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25.5" customHeight="1">
      <c r="A830" s="133"/>
      <c r="B830" s="133"/>
      <c r="C830" s="133"/>
      <c r="D830" s="128"/>
      <c r="E830" s="119"/>
      <c r="F830" s="128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0" customHeight="1">
      <c r="A831" s="15"/>
      <c r="B831" s="15"/>
      <c r="C831" s="15"/>
      <c r="D831" s="128"/>
      <c r="E831" s="119"/>
      <c r="F831" s="128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0" customHeight="1">
      <c r="A832" s="15"/>
      <c r="B832" s="15"/>
      <c r="C832" s="15"/>
      <c r="D832" s="128"/>
      <c r="E832" s="119"/>
      <c r="F832" s="128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0" customHeight="1">
      <c r="A833" s="15"/>
      <c r="B833" s="15"/>
      <c r="C833" s="15"/>
      <c r="D833" s="128"/>
      <c r="E833" s="119"/>
      <c r="F833" s="128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0" customHeight="1">
      <c r="A834" s="15"/>
      <c r="B834" s="15"/>
      <c r="C834" s="15"/>
      <c r="D834" s="128"/>
      <c r="E834" s="119"/>
      <c r="F834" s="128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0" customHeight="1">
      <c r="A835" s="15"/>
      <c r="B835" s="36"/>
      <c r="C835" s="36"/>
      <c r="D835" s="128"/>
      <c r="E835" s="119"/>
      <c r="F835" s="128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0" customHeight="1">
      <c r="A836" s="15"/>
      <c r="B836" s="119"/>
      <c r="C836" s="119"/>
      <c r="D836" s="128"/>
      <c r="E836" s="119"/>
      <c r="F836" s="128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0" customHeight="1">
      <c r="A837" s="15"/>
      <c r="B837" s="133"/>
      <c r="C837" s="133"/>
      <c r="D837" s="128"/>
      <c r="E837" s="119"/>
      <c r="F837" s="128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0" customHeight="1">
      <c r="A838" s="15"/>
      <c r="B838" s="15"/>
      <c r="C838" s="15"/>
      <c r="D838" s="128"/>
      <c r="E838" s="119"/>
      <c r="F838" s="128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0" customHeight="1">
      <c r="A839" s="15"/>
      <c r="B839" s="15"/>
      <c r="C839" s="15"/>
      <c r="D839" s="128"/>
      <c r="E839" s="128"/>
      <c r="F839" s="128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0" customHeight="1">
      <c r="A840" s="15"/>
      <c r="B840" s="15"/>
      <c r="C840" s="15"/>
      <c r="D840" s="128"/>
      <c r="E840" s="119"/>
      <c r="F840" s="128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25.5" customHeight="1">
      <c r="A841" s="15"/>
      <c r="B841" s="36"/>
      <c r="C841" s="36"/>
      <c r="D841" s="128"/>
      <c r="E841" s="119"/>
      <c r="F841" s="128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0" customHeight="1">
      <c r="A842" s="15"/>
      <c r="B842" s="133"/>
      <c r="C842" s="133"/>
      <c r="D842" s="128"/>
      <c r="E842" s="119"/>
      <c r="F842" s="128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0" customHeight="1">
      <c r="A843" s="36"/>
      <c r="B843" s="36"/>
      <c r="C843" s="36"/>
      <c r="D843" s="128"/>
      <c r="E843" s="119"/>
      <c r="F843" s="128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25.5" customHeight="1">
      <c r="A844" s="133"/>
      <c r="B844" s="133"/>
      <c r="C844" s="133"/>
      <c r="D844" s="128"/>
      <c r="E844" s="119"/>
      <c r="F844" s="128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0" customHeight="1">
      <c r="A845" s="15"/>
      <c r="B845" s="15"/>
      <c r="C845" s="15"/>
      <c r="D845" s="128"/>
      <c r="E845" s="119"/>
      <c r="F845" s="128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0" customHeight="1">
      <c r="A846" s="15"/>
      <c r="B846" s="15"/>
      <c r="C846" s="15"/>
      <c r="D846" s="128"/>
      <c r="E846" s="119"/>
      <c r="F846" s="128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0" customHeight="1">
      <c r="A847" s="15"/>
      <c r="B847" s="15"/>
      <c r="C847" s="15"/>
      <c r="D847" s="128"/>
      <c r="E847" s="119"/>
      <c r="F847" s="128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0" customHeight="1">
      <c r="A848" s="15"/>
      <c r="B848" s="15"/>
      <c r="C848" s="15"/>
      <c r="D848" s="128"/>
      <c r="E848" s="119"/>
      <c r="F848" s="128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0" customHeight="1">
      <c r="A849" s="15"/>
      <c r="B849" s="36"/>
      <c r="C849" s="36"/>
      <c r="D849" s="128"/>
      <c r="E849" s="119"/>
      <c r="F849" s="128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0" customHeight="1">
      <c r="A850" s="15"/>
      <c r="B850" s="119"/>
      <c r="C850" s="119"/>
      <c r="D850" s="128"/>
      <c r="E850" s="119"/>
      <c r="F850" s="128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0" customHeight="1">
      <c r="A851" s="15"/>
      <c r="B851" s="133"/>
      <c r="C851" s="133"/>
      <c r="D851" s="128"/>
      <c r="E851" s="119"/>
      <c r="F851" s="128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0" customHeight="1">
      <c r="A852" s="15"/>
      <c r="B852" s="15"/>
      <c r="C852" s="15"/>
      <c r="D852" s="128"/>
      <c r="E852" s="119"/>
      <c r="F852" s="128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0" customHeight="1">
      <c r="A853" s="15"/>
      <c r="B853" s="15"/>
      <c r="C853" s="15"/>
      <c r="D853" s="128"/>
      <c r="E853" s="119"/>
      <c r="F853" s="128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0" customHeight="1">
      <c r="A854" s="15"/>
      <c r="B854" s="36"/>
      <c r="C854" s="36"/>
      <c r="D854" s="128"/>
      <c r="E854" s="119"/>
      <c r="F854" s="128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0" customHeight="1">
      <c r="A855" s="15"/>
      <c r="B855" s="133"/>
      <c r="C855" s="133"/>
      <c r="D855" s="128"/>
      <c r="E855" s="119"/>
      <c r="F855" s="128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0" customHeight="1">
      <c r="A856" s="36"/>
      <c r="B856" s="36"/>
      <c r="C856" s="36"/>
      <c r="D856" s="128"/>
      <c r="E856" s="119"/>
      <c r="F856" s="128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25.5" customHeight="1">
      <c r="A857" s="157"/>
      <c r="B857" s="133"/>
      <c r="C857" s="133"/>
      <c r="D857" s="128"/>
      <c r="E857" s="119"/>
      <c r="F857" s="128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0" customHeight="1">
      <c r="A858" s="158"/>
      <c r="B858" s="15"/>
      <c r="C858" s="15"/>
      <c r="D858" s="128"/>
      <c r="E858" s="119"/>
      <c r="F858" s="128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0" customHeight="1">
      <c r="A859" s="158"/>
      <c r="B859" s="15"/>
      <c r="C859" s="15"/>
      <c r="D859" s="128"/>
      <c r="E859" s="119"/>
      <c r="F859" s="128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0" customHeight="1">
      <c r="A860" s="158"/>
      <c r="B860" s="15"/>
      <c r="C860" s="15"/>
      <c r="D860" s="128"/>
      <c r="E860" s="119"/>
      <c r="F860" s="128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0" customHeight="1">
      <c r="A861" s="158"/>
      <c r="B861" s="15"/>
      <c r="C861" s="36"/>
      <c r="D861" s="128"/>
      <c r="E861" s="119"/>
      <c r="F861" s="128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0" customHeight="1">
      <c r="A862" s="158"/>
      <c r="B862" s="36"/>
      <c r="C862" s="36"/>
      <c r="D862" s="128"/>
      <c r="E862" s="119"/>
      <c r="F862" s="128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0" customHeight="1">
      <c r="A863" s="158"/>
      <c r="B863" s="119"/>
      <c r="C863" s="36"/>
      <c r="D863" s="128"/>
      <c r="E863" s="119"/>
      <c r="F863" s="128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0" customHeight="1">
      <c r="A864" s="158"/>
      <c r="B864" s="133"/>
      <c r="C864" s="157"/>
      <c r="D864" s="128"/>
      <c r="E864" s="119"/>
      <c r="F864" s="128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0" customHeight="1">
      <c r="A865" s="158"/>
      <c r="B865" s="36"/>
      <c r="C865" s="159"/>
      <c r="D865" s="128"/>
      <c r="E865" s="119"/>
      <c r="F865" s="128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0" customHeight="1">
      <c r="A866" s="158"/>
      <c r="B866" s="133"/>
      <c r="C866" s="36"/>
      <c r="D866" s="128"/>
      <c r="E866" s="119"/>
      <c r="F866" s="128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0" customHeight="1">
      <c r="A867" s="158"/>
      <c r="B867" s="15"/>
      <c r="C867" s="36"/>
      <c r="D867" s="128"/>
      <c r="E867" s="119"/>
      <c r="F867" s="128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0" customHeight="1">
      <c r="A868" s="158"/>
      <c r="B868" s="36"/>
      <c r="C868" s="36"/>
      <c r="D868" s="128"/>
      <c r="E868" s="119"/>
      <c r="F868" s="128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0" customHeight="1">
      <c r="A869" s="159"/>
      <c r="B869" s="119"/>
      <c r="C869" s="36"/>
      <c r="D869" s="128"/>
      <c r="E869" s="119"/>
      <c r="F869" s="128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19"/>
      <c r="B870" s="119"/>
      <c r="C870" s="36"/>
      <c r="D870" s="128"/>
      <c r="E870" s="119"/>
      <c r="F870" s="128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60"/>
      <c r="B871" s="160"/>
      <c r="C871" s="160"/>
      <c r="D871" s="161"/>
      <c r="E871" s="160"/>
      <c r="F871" s="161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60"/>
      <c r="B872" s="160"/>
      <c r="C872" s="160"/>
      <c r="D872" s="161"/>
      <c r="E872" s="160"/>
      <c r="F872" s="161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60"/>
      <c r="B873" s="160"/>
      <c r="C873" s="160"/>
      <c r="D873" s="161"/>
      <c r="E873" s="160"/>
      <c r="F873" s="161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60"/>
      <c r="B874" s="160"/>
      <c r="C874" s="160"/>
      <c r="D874" s="161"/>
      <c r="E874" s="160"/>
      <c r="F874" s="161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60"/>
      <c r="B875" s="160"/>
      <c r="C875" s="160"/>
      <c r="D875" s="161"/>
      <c r="E875" s="160"/>
      <c r="F875" s="161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60"/>
      <c r="B876" s="160"/>
      <c r="C876" s="160"/>
      <c r="D876" s="161"/>
      <c r="E876" s="160"/>
      <c r="F876" s="161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60"/>
      <c r="B877" s="160"/>
      <c r="C877" s="160"/>
      <c r="D877" s="161"/>
      <c r="E877" s="160"/>
      <c r="F877" s="161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60"/>
      <c r="B878" s="160"/>
      <c r="C878" s="160"/>
      <c r="D878" s="161"/>
      <c r="E878" s="160"/>
      <c r="F878" s="161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60"/>
      <c r="B879" s="160"/>
      <c r="C879" s="160"/>
      <c r="D879" s="161"/>
      <c r="E879" s="160"/>
      <c r="F879" s="161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60"/>
      <c r="B880" s="160"/>
      <c r="C880" s="160"/>
      <c r="D880" s="161"/>
      <c r="E880" s="160"/>
      <c r="F880" s="161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60"/>
      <c r="B881" s="160"/>
      <c r="C881" s="160"/>
      <c r="D881" s="161"/>
      <c r="E881" s="160"/>
      <c r="F881" s="161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60"/>
      <c r="B882" s="160"/>
      <c r="C882" s="160"/>
      <c r="D882" s="161"/>
      <c r="E882" s="160"/>
      <c r="F882" s="161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60"/>
      <c r="B883" s="160"/>
      <c r="C883" s="160"/>
      <c r="D883" s="161"/>
      <c r="E883" s="160"/>
      <c r="F883" s="161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60"/>
      <c r="B884" s="160"/>
      <c r="C884" s="160"/>
      <c r="D884" s="161"/>
      <c r="E884" s="160"/>
      <c r="F884" s="161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60"/>
      <c r="B885" s="160"/>
      <c r="C885" s="160"/>
      <c r="D885" s="161"/>
      <c r="E885" s="160"/>
      <c r="F885" s="161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60"/>
      <c r="B886" s="160"/>
      <c r="C886" s="160"/>
      <c r="D886" s="161"/>
      <c r="E886" s="160"/>
      <c r="F886" s="161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60"/>
      <c r="B887" s="160"/>
      <c r="C887" s="160"/>
      <c r="D887" s="161"/>
      <c r="E887" s="160"/>
      <c r="F887" s="161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60"/>
      <c r="B888" s="160"/>
      <c r="C888" s="160"/>
      <c r="D888" s="161"/>
      <c r="E888" s="160"/>
      <c r="F888" s="161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60"/>
      <c r="B889" s="160"/>
      <c r="C889" s="160"/>
      <c r="D889" s="161"/>
      <c r="E889" s="160"/>
      <c r="F889" s="161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60"/>
      <c r="B890" s="160"/>
      <c r="C890" s="160"/>
      <c r="D890" s="161"/>
      <c r="E890" s="160"/>
      <c r="F890" s="161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60"/>
      <c r="B891" s="160"/>
      <c r="C891" s="160"/>
      <c r="D891" s="161"/>
      <c r="E891" s="160"/>
      <c r="F891" s="161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60"/>
      <c r="B892" s="160"/>
      <c r="C892" s="160"/>
      <c r="D892" s="161"/>
      <c r="E892" s="160"/>
      <c r="F892" s="161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60"/>
      <c r="B893" s="160"/>
      <c r="C893" s="160"/>
      <c r="D893" s="161"/>
      <c r="E893" s="160"/>
      <c r="F893" s="161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60"/>
      <c r="B894" s="160"/>
      <c r="C894" s="160"/>
      <c r="D894" s="161"/>
      <c r="E894" s="160"/>
      <c r="F894" s="161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60"/>
      <c r="B895" s="160"/>
      <c r="C895" s="160"/>
      <c r="D895" s="161"/>
      <c r="E895" s="160"/>
      <c r="F895" s="161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60"/>
      <c r="B896" s="160"/>
      <c r="C896" s="160"/>
      <c r="D896" s="161"/>
      <c r="E896" s="160"/>
      <c r="F896" s="161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60"/>
      <c r="B897" s="160"/>
      <c r="C897" s="160"/>
      <c r="D897" s="161"/>
      <c r="E897" s="160"/>
      <c r="F897" s="161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60"/>
      <c r="B898" s="160"/>
      <c r="C898" s="160"/>
      <c r="D898" s="161"/>
      <c r="E898" s="160"/>
      <c r="F898" s="161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60"/>
      <c r="B899" s="160"/>
      <c r="C899" s="160"/>
      <c r="D899" s="161"/>
      <c r="E899" s="160"/>
      <c r="F899" s="161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60"/>
      <c r="B900" s="160"/>
      <c r="C900" s="160"/>
      <c r="D900" s="161"/>
      <c r="E900" s="160"/>
      <c r="F900" s="161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60"/>
      <c r="B901" s="160"/>
      <c r="C901" s="160"/>
      <c r="D901" s="161"/>
      <c r="E901" s="160"/>
      <c r="F901" s="161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60"/>
      <c r="B902" s="160"/>
      <c r="C902" s="160"/>
      <c r="D902" s="161"/>
      <c r="E902" s="160"/>
      <c r="F902" s="161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60"/>
      <c r="B903" s="160"/>
      <c r="C903" s="160"/>
      <c r="D903" s="161"/>
      <c r="E903" s="160"/>
      <c r="F903" s="161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60"/>
      <c r="B904" s="160"/>
      <c r="C904" s="160"/>
      <c r="D904" s="161"/>
      <c r="E904" s="160"/>
      <c r="F904" s="161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60"/>
      <c r="B905" s="160"/>
      <c r="C905" s="160"/>
      <c r="D905" s="161"/>
      <c r="E905" s="160"/>
      <c r="F905" s="161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60"/>
      <c r="B906" s="160"/>
      <c r="C906" s="160"/>
      <c r="D906" s="161"/>
      <c r="E906" s="160"/>
      <c r="F906" s="161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60"/>
      <c r="B907" s="160"/>
      <c r="C907" s="160"/>
      <c r="D907" s="161"/>
      <c r="E907" s="160"/>
      <c r="F907" s="161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60"/>
      <c r="B908" s="160"/>
      <c r="C908" s="160"/>
      <c r="D908" s="161"/>
      <c r="E908" s="160"/>
      <c r="F908" s="161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60"/>
      <c r="B909" s="160"/>
      <c r="C909" s="160"/>
      <c r="D909" s="161"/>
      <c r="E909" s="160"/>
      <c r="F909" s="161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60"/>
      <c r="B910" s="160"/>
      <c r="C910" s="160"/>
      <c r="D910" s="161"/>
      <c r="E910" s="160"/>
      <c r="F910" s="161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60"/>
      <c r="B911" s="160"/>
      <c r="C911" s="160"/>
      <c r="D911" s="161"/>
      <c r="E911" s="160"/>
      <c r="F911" s="161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60"/>
      <c r="B912" s="160"/>
      <c r="C912" s="160"/>
      <c r="D912" s="161"/>
      <c r="E912" s="160"/>
      <c r="F912" s="161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60"/>
      <c r="B913" s="160"/>
      <c r="C913" s="160"/>
      <c r="D913" s="161"/>
      <c r="E913" s="160"/>
      <c r="F913" s="161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60"/>
      <c r="B914" s="160"/>
      <c r="C914" s="160"/>
      <c r="D914" s="161"/>
      <c r="E914" s="160"/>
      <c r="F914" s="161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60"/>
      <c r="B915" s="160"/>
      <c r="C915" s="160"/>
      <c r="D915" s="161"/>
      <c r="E915" s="160"/>
      <c r="F915" s="161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60"/>
      <c r="B916" s="160"/>
      <c r="C916" s="160"/>
      <c r="D916" s="161"/>
      <c r="E916" s="160"/>
      <c r="F916" s="161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60"/>
      <c r="B917" s="160"/>
      <c r="C917" s="160"/>
      <c r="D917" s="161"/>
      <c r="E917" s="160"/>
      <c r="F917" s="161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60"/>
      <c r="B918" s="160"/>
      <c r="C918" s="160"/>
      <c r="D918" s="161"/>
      <c r="E918" s="160"/>
      <c r="F918" s="161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60"/>
      <c r="B919" s="160"/>
      <c r="C919" s="160"/>
      <c r="D919" s="161"/>
      <c r="E919" s="160"/>
      <c r="F919" s="161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60"/>
      <c r="B920" s="160"/>
      <c r="C920" s="160"/>
      <c r="D920" s="161"/>
      <c r="E920" s="160"/>
      <c r="F920" s="161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60"/>
      <c r="B921" s="160"/>
      <c r="C921" s="160"/>
      <c r="D921" s="161"/>
      <c r="E921" s="160"/>
      <c r="F921" s="161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60"/>
      <c r="B922" s="160"/>
      <c r="C922" s="160"/>
      <c r="D922" s="161"/>
      <c r="E922" s="160"/>
      <c r="F922" s="161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60"/>
      <c r="B923" s="160"/>
      <c r="C923" s="160"/>
      <c r="D923" s="161"/>
      <c r="E923" s="160"/>
      <c r="F923" s="161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60"/>
      <c r="B924" s="160"/>
      <c r="C924" s="160"/>
      <c r="D924" s="161"/>
      <c r="E924" s="160"/>
      <c r="F924" s="161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60"/>
      <c r="B925" s="160"/>
      <c r="C925" s="160"/>
      <c r="D925" s="161"/>
      <c r="E925" s="160"/>
      <c r="F925" s="161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60"/>
      <c r="B926" s="160"/>
      <c r="C926" s="160"/>
      <c r="D926" s="161"/>
      <c r="E926" s="160"/>
      <c r="F926" s="161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60"/>
      <c r="B927" s="160"/>
      <c r="C927" s="160"/>
      <c r="D927" s="161"/>
      <c r="E927" s="160"/>
      <c r="F927" s="161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60"/>
      <c r="B928" s="160"/>
      <c r="C928" s="160"/>
      <c r="D928" s="161"/>
      <c r="E928" s="160"/>
      <c r="F928" s="161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60"/>
      <c r="B929" s="160"/>
      <c r="C929" s="160"/>
      <c r="D929" s="161"/>
      <c r="E929" s="160"/>
      <c r="F929" s="161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60"/>
      <c r="B930" s="160"/>
      <c r="C930" s="160"/>
      <c r="D930" s="161"/>
      <c r="E930" s="160"/>
      <c r="F930" s="161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60"/>
      <c r="B931" s="160"/>
      <c r="C931" s="160"/>
      <c r="D931" s="161"/>
      <c r="E931" s="160"/>
      <c r="F931" s="161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60"/>
      <c r="B932" s="160"/>
      <c r="C932" s="160"/>
      <c r="D932" s="161"/>
      <c r="E932" s="160"/>
      <c r="F932" s="161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60"/>
      <c r="B933" s="160"/>
      <c r="C933" s="160"/>
      <c r="D933" s="161"/>
      <c r="E933" s="160"/>
      <c r="F933" s="161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60"/>
      <c r="B934" s="160"/>
      <c r="C934" s="160"/>
      <c r="D934" s="161"/>
      <c r="E934" s="160"/>
      <c r="F934" s="161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60"/>
      <c r="B935" s="160"/>
      <c r="C935" s="160"/>
      <c r="D935" s="161"/>
      <c r="E935" s="160"/>
      <c r="F935" s="161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60"/>
      <c r="B936" s="160"/>
      <c r="C936" s="160"/>
      <c r="D936" s="161"/>
      <c r="E936" s="160"/>
      <c r="F936" s="161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60"/>
      <c r="B937" s="160"/>
      <c r="C937" s="160"/>
      <c r="D937" s="161"/>
      <c r="E937" s="160"/>
      <c r="F937" s="161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60"/>
      <c r="B938" s="160"/>
      <c r="C938" s="160"/>
      <c r="D938" s="161"/>
      <c r="E938" s="160"/>
      <c r="F938" s="161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60"/>
      <c r="B939" s="160"/>
      <c r="C939" s="160"/>
      <c r="D939" s="161"/>
      <c r="E939" s="160"/>
      <c r="F939" s="161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60"/>
      <c r="B940" s="160"/>
      <c r="C940" s="160"/>
      <c r="D940" s="161"/>
      <c r="E940" s="160"/>
      <c r="F940" s="161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60"/>
      <c r="B941" s="160"/>
      <c r="C941" s="160"/>
      <c r="D941" s="161"/>
      <c r="E941" s="160"/>
      <c r="F941" s="161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60"/>
      <c r="B942" s="160"/>
      <c r="C942" s="160"/>
      <c r="D942" s="161"/>
      <c r="E942" s="160"/>
      <c r="F942" s="161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60"/>
      <c r="B943" s="160"/>
      <c r="C943" s="160"/>
      <c r="D943" s="161"/>
      <c r="E943" s="160"/>
      <c r="F943" s="161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60"/>
      <c r="B944" s="160"/>
      <c r="C944" s="160"/>
      <c r="D944" s="161"/>
      <c r="E944" s="160"/>
      <c r="F944" s="161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60"/>
      <c r="B945" s="160"/>
      <c r="C945" s="160"/>
      <c r="D945" s="161"/>
      <c r="E945" s="160"/>
      <c r="F945" s="161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60"/>
      <c r="B946" s="160"/>
      <c r="C946" s="160"/>
      <c r="D946" s="161"/>
      <c r="E946" s="160"/>
      <c r="F946" s="161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60"/>
      <c r="B947" s="160"/>
      <c r="C947" s="160"/>
      <c r="D947" s="161"/>
      <c r="E947" s="160"/>
      <c r="F947" s="161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60"/>
      <c r="B948" s="160"/>
      <c r="C948" s="160"/>
      <c r="D948" s="161"/>
      <c r="E948" s="160"/>
      <c r="F948" s="161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60"/>
      <c r="B949" s="160"/>
      <c r="C949" s="160"/>
      <c r="D949" s="161"/>
      <c r="E949" s="160"/>
      <c r="F949" s="161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60"/>
      <c r="B950" s="160"/>
      <c r="C950" s="160"/>
      <c r="D950" s="161"/>
      <c r="E950" s="160"/>
      <c r="F950" s="161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60"/>
      <c r="B951" s="160"/>
      <c r="C951" s="160"/>
      <c r="D951" s="161"/>
      <c r="E951" s="160"/>
      <c r="F951" s="161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60"/>
      <c r="B952" s="160"/>
      <c r="C952" s="160"/>
      <c r="D952" s="161"/>
      <c r="E952" s="160"/>
      <c r="F952" s="161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60"/>
      <c r="B953" s="160"/>
      <c r="C953" s="160"/>
      <c r="D953" s="161"/>
      <c r="E953" s="160"/>
      <c r="F953" s="161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60"/>
      <c r="B954" s="160"/>
      <c r="C954" s="160"/>
      <c r="D954" s="161"/>
      <c r="E954" s="160"/>
      <c r="F954" s="161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60"/>
      <c r="B955" s="160"/>
      <c r="C955" s="160"/>
      <c r="D955" s="161"/>
      <c r="E955" s="160"/>
      <c r="F955" s="161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60"/>
      <c r="B956" s="160"/>
      <c r="C956" s="160"/>
      <c r="D956" s="161"/>
      <c r="E956" s="160"/>
      <c r="F956" s="161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60"/>
      <c r="B957" s="160"/>
      <c r="C957" s="160"/>
      <c r="D957" s="161"/>
      <c r="E957" s="160"/>
      <c r="F957" s="161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60"/>
      <c r="B958" s="160"/>
      <c r="C958" s="160"/>
      <c r="D958" s="161"/>
      <c r="E958" s="160"/>
      <c r="F958" s="161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60"/>
      <c r="B959" s="160"/>
      <c r="C959" s="160"/>
      <c r="D959" s="161"/>
      <c r="E959" s="160"/>
      <c r="F959" s="161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60"/>
      <c r="B960" s="160"/>
      <c r="C960" s="160"/>
      <c r="D960" s="161"/>
      <c r="E960" s="160"/>
      <c r="F960" s="161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60"/>
      <c r="B961" s="160"/>
      <c r="C961" s="160"/>
      <c r="D961" s="161"/>
      <c r="E961" s="160"/>
      <c r="F961" s="161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60"/>
      <c r="B962" s="160"/>
      <c r="C962" s="160"/>
      <c r="D962" s="161"/>
      <c r="E962" s="160"/>
      <c r="F962" s="161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60"/>
      <c r="B963" s="160"/>
      <c r="C963" s="160"/>
      <c r="D963" s="161"/>
      <c r="E963" s="160"/>
      <c r="F963" s="161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60"/>
      <c r="B964" s="160"/>
      <c r="C964" s="160"/>
      <c r="D964" s="161"/>
      <c r="E964" s="160"/>
      <c r="F964" s="161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60"/>
      <c r="B965" s="160"/>
      <c r="C965" s="160"/>
      <c r="D965" s="161"/>
      <c r="E965" s="160"/>
      <c r="F965" s="161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60"/>
      <c r="B966" s="160"/>
      <c r="C966" s="160"/>
      <c r="D966" s="161"/>
      <c r="E966" s="160"/>
      <c r="F966" s="161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60"/>
      <c r="B967" s="160"/>
      <c r="C967" s="160"/>
      <c r="D967" s="161"/>
      <c r="E967" s="160"/>
      <c r="F967" s="161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60"/>
      <c r="B968" s="160"/>
      <c r="C968" s="160"/>
      <c r="D968" s="161"/>
      <c r="E968" s="160"/>
      <c r="F968" s="161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60"/>
      <c r="B969" s="160"/>
      <c r="C969" s="160"/>
      <c r="D969" s="161"/>
      <c r="E969" s="160"/>
      <c r="F969" s="161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60"/>
      <c r="B970" s="160"/>
      <c r="C970" s="160"/>
      <c r="D970" s="161"/>
      <c r="E970" s="160"/>
      <c r="F970" s="161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60"/>
      <c r="B971" s="160"/>
      <c r="C971" s="160"/>
      <c r="D971" s="161"/>
      <c r="E971" s="160"/>
      <c r="F971" s="161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60"/>
      <c r="B972" s="160"/>
      <c r="C972" s="160"/>
      <c r="D972" s="161"/>
      <c r="E972" s="160"/>
      <c r="F972" s="161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60"/>
      <c r="B973" s="160"/>
      <c r="C973" s="160"/>
      <c r="D973" s="161"/>
      <c r="E973" s="160"/>
      <c r="F973" s="161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60"/>
      <c r="B974" s="160"/>
      <c r="C974" s="160"/>
      <c r="D974" s="161"/>
      <c r="E974" s="160"/>
      <c r="F974" s="161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60"/>
      <c r="B975" s="160"/>
      <c r="C975" s="160"/>
      <c r="D975" s="161"/>
      <c r="E975" s="160"/>
      <c r="F975" s="161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60"/>
      <c r="B976" s="160"/>
      <c r="C976" s="160"/>
      <c r="D976" s="161"/>
      <c r="E976" s="160"/>
      <c r="F976" s="161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60"/>
      <c r="B977" s="160"/>
      <c r="C977" s="160"/>
      <c r="D977" s="161"/>
      <c r="E977" s="160"/>
      <c r="F977" s="161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60"/>
      <c r="B978" s="160"/>
      <c r="C978" s="160"/>
      <c r="D978" s="161"/>
      <c r="E978" s="160"/>
      <c r="F978" s="161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60"/>
      <c r="B979" s="160"/>
      <c r="C979" s="160"/>
      <c r="D979" s="161"/>
      <c r="E979" s="160"/>
      <c r="F979" s="161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60"/>
      <c r="B980" s="160"/>
      <c r="C980" s="160"/>
      <c r="D980" s="161"/>
      <c r="E980" s="160"/>
      <c r="F980" s="161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60"/>
      <c r="B981" s="160"/>
      <c r="C981" s="160"/>
      <c r="D981" s="161"/>
      <c r="E981" s="160"/>
      <c r="F981" s="161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60"/>
      <c r="B982" s="160"/>
      <c r="C982" s="160"/>
      <c r="D982" s="161"/>
      <c r="E982" s="160"/>
      <c r="F982" s="161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60"/>
      <c r="B983" s="160"/>
      <c r="C983" s="160"/>
      <c r="D983" s="161"/>
      <c r="E983" s="160"/>
      <c r="F983" s="161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60"/>
      <c r="B984" s="160"/>
      <c r="C984" s="160"/>
      <c r="D984" s="161"/>
      <c r="E984" s="160"/>
      <c r="F984" s="161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60"/>
      <c r="B985" s="160"/>
      <c r="C985" s="160"/>
      <c r="D985" s="161"/>
      <c r="E985" s="160"/>
      <c r="F985" s="161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60"/>
      <c r="B986" s="160"/>
      <c r="C986" s="160"/>
      <c r="D986" s="161"/>
      <c r="E986" s="160"/>
      <c r="F986" s="161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60"/>
      <c r="B987" s="160"/>
      <c r="C987" s="160"/>
      <c r="D987" s="161"/>
      <c r="E987" s="160"/>
      <c r="F987" s="161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60"/>
      <c r="B988" s="160"/>
      <c r="C988" s="160"/>
      <c r="D988" s="161"/>
      <c r="E988" s="160"/>
      <c r="F988" s="161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60"/>
      <c r="B989" s="160"/>
      <c r="C989" s="160"/>
      <c r="D989" s="161"/>
      <c r="E989" s="160"/>
      <c r="F989" s="161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60"/>
      <c r="B990" s="160"/>
      <c r="C990" s="160"/>
      <c r="D990" s="161"/>
      <c r="E990" s="160"/>
      <c r="F990" s="161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60"/>
      <c r="B991" s="160"/>
      <c r="C991" s="160"/>
      <c r="D991" s="161"/>
      <c r="E991" s="160"/>
      <c r="F991" s="161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60"/>
      <c r="B992" s="160"/>
      <c r="C992" s="160"/>
      <c r="D992" s="161"/>
      <c r="E992" s="160"/>
      <c r="F992" s="161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60"/>
      <c r="B993" s="160"/>
      <c r="C993" s="160"/>
      <c r="D993" s="161"/>
      <c r="E993" s="160"/>
      <c r="F993" s="161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60"/>
      <c r="B994" s="160"/>
      <c r="C994" s="160"/>
      <c r="D994" s="161"/>
      <c r="E994" s="160"/>
      <c r="F994" s="161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60"/>
      <c r="B995" s="160"/>
      <c r="C995" s="160"/>
      <c r="D995" s="161"/>
      <c r="E995" s="160"/>
      <c r="F995" s="161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60"/>
      <c r="B996" s="160"/>
      <c r="C996" s="160"/>
      <c r="D996" s="161"/>
      <c r="E996" s="160"/>
      <c r="F996" s="161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60"/>
      <c r="B997" s="160"/>
      <c r="C997" s="160"/>
      <c r="D997" s="161"/>
      <c r="E997" s="160"/>
      <c r="F997" s="161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60"/>
      <c r="B998" s="160"/>
      <c r="C998" s="160"/>
      <c r="D998" s="161"/>
      <c r="E998" s="160"/>
      <c r="F998" s="161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60"/>
      <c r="B999" s="160"/>
      <c r="C999" s="160"/>
      <c r="D999" s="161"/>
      <c r="E999" s="160"/>
      <c r="F999" s="161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</sheetData>
  <autoFilter ref="$A$1:$F$869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6.71"/>
    <col customWidth="1" min="3" max="3" width="31.86"/>
    <col customWidth="1" min="4" max="4" width="32.57"/>
    <col customWidth="1" min="5" max="5" width="29.43"/>
    <col customWidth="1" min="6" max="6" width="12.71"/>
    <col customWidth="1" min="7" max="7" width="12.0"/>
    <col customWidth="1" min="8" max="8" width="20.14"/>
    <col customWidth="1" min="9" max="9" width="9.43"/>
    <col customWidth="1" hidden="1" min="10" max="10" width="8.14"/>
    <col customWidth="1" min="11" max="26" width="9.14"/>
  </cols>
  <sheetData>
    <row r="1" ht="13.5" customHeight="1">
      <c r="A1" s="39"/>
      <c r="B1" s="41"/>
      <c r="C1" s="41"/>
      <c r="D1" s="41"/>
      <c r="E1" s="41"/>
      <c r="F1" s="38"/>
      <c r="G1" s="52"/>
      <c r="H1" s="38"/>
      <c r="I1" s="55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5.0" customHeight="1">
      <c r="A2" s="64" t="s">
        <v>117</v>
      </c>
      <c r="B2" s="70" t="s">
        <v>128</v>
      </c>
      <c r="C2" s="22"/>
      <c r="D2" s="22"/>
      <c r="E2" s="22"/>
      <c r="F2" s="22"/>
      <c r="G2" s="22"/>
      <c r="H2" s="24"/>
      <c r="I2" s="55"/>
      <c r="J2" s="58" t="s">
        <v>140</v>
      </c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25.5" customHeight="1">
      <c r="A3" s="75" t="s">
        <v>145</v>
      </c>
      <c r="B3" s="70" t="s">
        <v>142</v>
      </c>
      <c r="C3" s="22"/>
      <c r="D3" s="22"/>
      <c r="E3" s="22"/>
      <c r="F3" s="22"/>
      <c r="G3" s="22"/>
      <c r="H3" s="24"/>
      <c r="I3" s="55"/>
      <c r="J3" s="58" t="s">
        <v>151</v>
      </c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8.0" customHeight="1">
      <c r="A4" s="64" t="s">
        <v>156</v>
      </c>
      <c r="B4" s="70" t="s">
        <v>157</v>
      </c>
      <c r="C4" s="22"/>
      <c r="D4" s="22"/>
      <c r="E4" s="22"/>
      <c r="F4" s="22"/>
      <c r="G4" s="22"/>
      <c r="H4" s="24"/>
      <c r="I4" s="55"/>
      <c r="J4" s="58" t="s">
        <v>165</v>
      </c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9.5" customHeight="1">
      <c r="A5" s="82" t="s">
        <v>140</v>
      </c>
      <c r="B5" s="85" t="s">
        <v>151</v>
      </c>
      <c r="C5" s="85" t="s">
        <v>176</v>
      </c>
      <c r="D5" s="85" t="s">
        <v>165</v>
      </c>
      <c r="E5" s="88" t="s">
        <v>178</v>
      </c>
      <c r="F5" s="89" t="s">
        <v>181</v>
      </c>
      <c r="G5" s="22"/>
      <c r="H5" s="24"/>
      <c r="I5" s="90"/>
      <c r="J5" s="58" t="s">
        <v>176</v>
      </c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5.0" customHeight="1">
      <c r="A6" s="101">
        <f>COUNTIF(F9:F994,"Passed")</f>
        <v>0</v>
      </c>
      <c r="B6" s="104">
        <f>COUNTIF(F9:F994,"Failed")</f>
        <v>0</v>
      </c>
      <c r="C6" s="104">
        <f>F6-E6-D6-B6-A6</f>
        <v>25</v>
      </c>
      <c r="D6" s="104">
        <f>COUNTIF(F$9:F$994,"Blocked")</f>
        <v>0</v>
      </c>
      <c r="E6" s="107">
        <f>COUNTIF(F$9:F$994,"Skipped")</f>
        <v>0</v>
      </c>
      <c r="F6" s="110">
        <f>COUNTA(A9:A994)</f>
        <v>25</v>
      </c>
      <c r="G6" s="22"/>
      <c r="H6" s="24"/>
      <c r="I6" s="90"/>
      <c r="J6" s="58" t="s">
        <v>178</v>
      </c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0" customHeight="1">
      <c r="A7" s="58"/>
      <c r="B7" s="58"/>
      <c r="C7" s="58"/>
      <c r="D7" s="111"/>
      <c r="E7" s="111"/>
      <c r="F7" s="112"/>
      <c r="G7" s="112"/>
      <c r="H7" s="112"/>
      <c r="I7" s="90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25.5" customHeight="1">
      <c r="A8" s="113" t="s">
        <v>261</v>
      </c>
      <c r="B8" s="114" t="s">
        <v>264</v>
      </c>
      <c r="C8" s="114" t="s">
        <v>266</v>
      </c>
      <c r="D8" s="114" t="s">
        <v>267</v>
      </c>
      <c r="E8" s="115" t="s">
        <v>270</v>
      </c>
      <c r="F8" s="115" t="s">
        <v>272</v>
      </c>
      <c r="G8" s="115" t="s">
        <v>273</v>
      </c>
      <c r="H8" s="116" t="s">
        <v>5</v>
      </c>
      <c r="I8" s="117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118" t="s">
        <v>282</v>
      </c>
      <c r="B9" s="120" t="s">
        <v>10</v>
      </c>
      <c r="C9" s="120" t="s">
        <v>286</v>
      </c>
      <c r="D9" s="120" t="s">
        <v>290</v>
      </c>
      <c r="E9" s="121"/>
      <c r="F9" s="122" t="s">
        <v>176</v>
      </c>
      <c r="G9" s="123">
        <v>46312.0</v>
      </c>
      <c r="H9" s="124"/>
      <c r="I9" s="125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118" t="s">
        <v>310</v>
      </c>
      <c r="B10" s="126" t="s">
        <v>15</v>
      </c>
      <c r="C10" s="126" t="s">
        <v>315</v>
      </c>
      <c r="D10" s="126" t="s">
        <v>319</v>
      </c>
      <c r="E10" s="127"/>
      <c r="F10" s="129" t="s">
        <v>176</v>
      </c>
      <c r="G10" s="130">
        <v>46312.0</v>
      </c>
      <c r="H10" s="131"/>
      <c r="I10" s="13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8" t="s">
        <v>321</v>
      </c>
      <c r="B11" s="120" t="s">
        <v>20</v>
      </c>
      <c r="C11" s="120" t="s">
        <v>322</v>
      </c>
      <c r="D11" s="120" t="s">
        <v>323</v>
      </c>
      <c r="E11" s="121"/>
      <c r="F11" s="122" t="s">
        <v>176</v>
      </c>
      <c r="G11" s="123">
        <v>46312.0</v>
      </c>
      <c r="H11" s="134"/>
      <c r="I11" s="13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0.25" customHeight="1">
      <c r="A12" s="118" t="s">
        <v>324</v>
      </c>
      <c r="B12" s="126" t="s">
        <v>24</v>
      </c>
      <c r="C12" s="126" t="s">
        <v>325</v>
      </c>
      <c r="D12" s="126" t="s">
        <v>326</v>
      </c>
      <c r="E12" s="127"/>
      <c r="F12" s="129" t="s">
        <v>176</v>
      </c>
      <c r="G12" s="136">
        <v>46312.0</v>
      </c>
      <c r="H12" s="131"/>
      <c r="I12" s="125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118" t="s">
        <v>327</v>
      </c>
      <c r="B13" s="120" t="s">
        <v>27</v>
      </c>
      <c r="C13" s="120" t="s">
        <v>328</v>
      </c>
      <c r="D13" s="137" t="s">
        <v>329</v>
      </c>
      <c r="E13" s="138"/>
      <c r="F13" s="122" t="s">
        <v>176</v>
      </c>
      <c r="G13" s="123">
        <v>46312.0</v>
      </c>
      <c r="H13" s="124"/>
      <c r="I13" s="13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5.0" customHeight="1">
      <c r="A14" s="118" t="s">
        <v>330</v>
      </c>
      <c r="B14" s="126" t="s">
        <v>30</v>
      </c>
      <c r="C14" s="126" t="s">
        <v>331</v>
      </c>
      <c r="D14" s="126" t="s">
        <v>332</v>
      </c>
      <c r="E14" s="127"/>
      <c r="F14" s="129" t="s">
        <v>176</v>
      </c>
      <c r="G14" s="130">
        <v>46312.0</v>
      </c>
      <c r="H14" s="131"/>
      <c r="I14" s="13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8" t="s">
        <v>333</v>
      </c>
      <c r="B15" s="137" t="s">
        <v>34</v>
      </c>
      <c r="C15" s="137" t="s">
        <v>334</v>
      </c>
      <c r="D15" s="137" t="s">
        <v>335</v>
      </c>
      <c r="E15" s="121"/>
      <c r="F15" s="139" t="s">
        <v>176</v>
      </c>
      <c r="G15" s="140">
        <v>46312.0</v>
      </c>
      <c r="H15" s="124"/>
      <c r="I15" s="13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8" t="s">
        <v>336</v>
      </c>
      <c r="B16" s="126" t="s">
        <v>38</v>
      </c>
      <c r="C16" s="126" t="s">
        <v>337</v>
      </c>
      <c r="D16" s="126" t="s">
        <v>338</v>
      </c>
      <c r="E16" s="127"/>
      <c r="F16" s="129" t="s">
        <v>176</v>
      </c>
      <c r="G16" s="136">
        <v>46312.0</v>
      </c>
      <c r="H16" s="131"/>
      <c r="I16" s="13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8" t="s">
        <v>339</v>
      </c>
      <c r="B17" s="120" t="s">
        <v>42</v>
      </c>
      <c r="C17" s="120" t="s">
        <v>340</v>
      </c>
      <c r="D17" s="120" t="s">
        <v>341</v>
      </c>
      <c r="E17" s="121"/>
      <c r="F17" s="122" t="s">
        <v>176</v>
      </c>
      <c r="G17" s="123">
        <v>46312.0</v>
      </c>
      <c r="H17" s="124"/>
      <c r="I17" s="13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8" t="s">
        <v>342</v>
      </c>
      <c r="B18" s="126" t="s">
        <v>46</v>
      </c>
      <c r="C18" s="126" t="s">
        <v>343</v>
      </c>
      <c r="D18" s="126" t="s">
        <v>344</v>
      </c>
      <c r="E18" s="127"/>
      <c r="F18" s="129" t="s">
        <v>176</v>
      </c>
      <c r="G18" s="130">
        <v>46312.0</v>
      </c>
      <c r="H18" s="131"/>
      <c r="I18" s="13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8" t="s">
        <v>345</v>
      </c>
      <c r="B19" s="137" t="s">
        <v>53</v>
      </c>
      <c r="C19" s="141" t="s">
        <v>346</v>
      </c>
      <c r="D19" s="137" t="s">
        <v>347</v>
      </c>
      <c r="E19" s="138"/>
      <c r="F19" s="122" t="s">
        <v>176</v>
      </c>
      <c r="G19" s="142">
        <v>46312.0</v>
      </c>
      <c r="H19" s="124"/>
      <c r="I19" s="13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8" t="s">
        <v>348</v>
      </c>
      <c r="B20" s="126" t="s">
        <v>57</v>
      </c>
      <c r="C20" s="126" t="s">
        <v>349</v>
      </c>
      <c r="D20" s="126" t="s">
        <v>350</v>
      </c>
      <c r="E20" s="127"/>
      <c r="F20" s="129" t="s">
        <v>176</v>
      </c>
      <c r="G20" s="130">
        <v>46312.0</v>
      </c>
      <c r="H20" s="131"/>
      <c r="I20" s="13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8" t="s">
        <v>351</v>
      </c>
      <c r="B21" s="120" t="s">
        <v>61</v>
      </c>
      <c r="C21" s="120" t="s">
        <v>352</v>
      </c>
      <c r="D21" s="137" t="s">
        <v>353</v>
      </c>
      <c r="E21" s="138"/>
      <c r="F21" s="122" t="s">
        <v>176</v>
      </c>
      <c r="G21" s="123">
        <v>46312.0</v>
      </c>
      <c r="H21" s="124"/>
      <c r="I21" s="13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8" t="s">
        <v>354</v>
      </c>
      <c r="B22" s="126" t="s">
        <v>65</v>
      </c>
      <c r="C22" s="126" t="s">
        <v>355</v>
      </c>
      <c r="D22" s="126" t="s">
        <v>356</v>
      </c>
      <c r="E22" s="143"/>
      <c r="F22" s="129" t="s">
        <v>176</v>
      </c>
      <c r="G22" s="130">
        <v>46312.0</v>
      </c>
      <c r="H22" s="131"/>
      <c r="I22" s="13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8" t="s">
        <v>357</v>
      </c>
      <c r="B23" s="137" t="s">
        <v>68</v>
      </c>
      <c r="C23" s="137" t="s">
        <v>358</v>
      </c>
      <c r="D23" s="137" t="s">
        <v>359</v>
      </c>
      <c r="E23" s="138"/>
      <c r="F23" s="122" t="s">
        <v>176</v>
      </c>
      <c r="G23" s="142">
        <v>46312.0</v>
      </c>
      <c r="H23" s="124"/>
      <c r="I23" s="13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8" t="s">
        <v>360</v>
      </c>
      <c r="B24" s="126" t="s">
        <v>72</v>
      </c>
      <c r="C24" s="126" t="s">
        <v>361</v>
      </c>
      <c r="D24" s="126" t="s">
        <v>362</v>
      </c>
      <c r="E24" s="127"/>
      <c r="F24" s="129" t="s">
        <v>176</v>
      </c>
      <c r="G24" s="130">
        <v>46312.0</v>
      </c>
      <c r="H24" s="131"/>
      <c r="I24" s="13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8" t="s">
        <v>363</v>
      </c>
      <c r="B25" s="137" t="s">
        <v>75</v>
      </c>
      <c r="C25" s="137" t="s">
        <v>364</v>
      </c>
      <c r="D25" s="137" t="s">
        <v>365</v>
      </c>
      <c r="E25" s="138"/>
      <c r="F25" s="122" t="s">
        <v>176</v>
      </c>
      <c r="G25" s="123">
        <v>46312.0</v>
      </c>
      <c r="H25" s="124"/>
      <c r="I25" s="13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8" t="s">
        <v>366</v>
      </c>
      <c r="B26" s="126" t="s">
        <v>367</v>
      </c>
      <c r="C26" s="126" t="s">
        <v>368</v>
      </c>
      <c r="D26" s="126" t="s">
        <v>369</v>
      </c>
      <c r="E26" s="143"/>
      <c r="F26" s="129" t="s">
        <v>176</v>
      </c>
      <c r="G26" s="130">
        <v>46312.0</v>
      </c>
      <c r="H26" s="131"/>
      <c r="I26" s="13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8" t="s">
        <v>370</v>
      </c>
      <c r="B27" s="137" t="s">
        <v>83</v>
      </c>
      <c r="C27" s="137" t="s">
        <v>371</v>
      </c>
      <c r="D27" s="137" t="s">
        <v>372</v>
      </c>
      <c r="E27" s="138"/>
      <c r="F27" s="122" t="s">
        <v>176</v>
      </c>
      <c r="G27" s="123">
        <v>46312.0</v>
      </c>
      <c r="H27" s="124"/>
      <c r="I27" s="13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8" t="s">
        <v>373</v>
      </c>
      <c r="B28" s="126" t="s">
        <v>86</v>
      </c>
      <c r="C28" s="126" t="s">
        <v>374</v>
      </c>
      <c r="D28" s="126" t="s">
        <v>375</v>
      </c>
      <c r="E28" s="127"/>
      <c r="F28" s="129" t="s">
        <v>176</v>
      </c>
      <c r="G28" s="130">
        <v>46312.0</v>
      </c>
      <c r="H28" s="131"/>
      <c r="I28" s="13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8" t="s">
        <v>376</v>
      </c>
      <c r="B29" s="137" t="s">
        <v>90</v>
      </c>
      <c r="C29" s="137" t="s">
        <v>377</v>
      </c>
      <c r="D29" s="137" t="s">
        <v>378</v>
      </c>
      <c r="E29" s="121"/>
      <c r="F29" s="122" t="s">
        <v>176</v>
      </c>
      <c r="G29" s="123">
        <v>46312.0</v>
      </c>
      <c r="H29" s="124"/>
      <c r="I29" s="13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8" t="s">
        <v>379</v>
      </c>
      <c r="B30" s="126" t="s">
        <v>94</v>
      </c>
      <c r="C30" s="126" t="s">
        <v>380</v>
      </c>
      <c r="D30" s="126" t="s">
        <v>381</v>
      </c>
      <c r="E30" s="127"/>
      <c r="F30" s="129" t="s">
        <v>176</v>
      </c>
      <c r="G30" s="130">
        <v>46312.0</v>
      </c>
      <c r="H30" s="131"/>
      <c r="I30" s="13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8" t="s">
        <v>382</v>
      </c>
      <c r="B31" s="137" t="s">
        <v>98</v>
      </c>
      <c r="C31" s="137" t="s">
        <v>383</v>
      </c>
      <c r="D31" s="137" t="s">
        <v>384</v>
      </c>
      <c r="E31" s="121"/>
      <c r="F31" s="139" t="s">
        <v>176</v>
      </c>
      <c r="G31" s="140">
        <v>46312.0</v>
      </c>
      <c r="H31" s="124"/>
      <c r="I31" s="13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8" t="s">
        <v>385</v>
      </c>
      <c r="B32" s="126" t="s">
        <v>102</v>
      </c>
      <c r="C32" s="126" t="s">
        <v>386</v>
      </c>
      <c r="D32" s="126" t="s">
        <v>387</v>
      </c>
      <c r="E32" s="127"/>
      <c r="F32" s="129" t="s">
        <v>176</v>
      </c>
      <c r="G32" s="136">
        <v>46312.0</v>
      </c>
      <c r="H32" s="131"/>
      <c r="I32" s="13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8" t="s">
        <v>388</v>
      </c>
      <c r="B33" s="137" t="s">
        <v>105</v>
      </c>
      <c r="C33" s="137" t="s">
        <v>389</v>
      </c>
      <c r="D33" s="137" t="s">
        <v>390</v>
      </c>
      <c r="E33" s="138"/>
      <c r="F33" s="122" t="s">
        <v>176</v>
      </c>
      <c r="G33" s="123">
        <v>46312.0</v>
      </c>
      <c r="H33" s="124"/>
      <c r="I33" s="13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44"/>
      <c r="B34" s="145"/>
      <c r="C34" s="145"/>
      <c r="D34" s="145"/>
      <c r="E34" s="146"/>
      <c r="F34" s="147"/>
      <c r="G34" s="147"/>
      <c r="H34" s="147"/>
      <c r="I34" s="14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49"/>
      <c r="B35" s="150"/>
      <c r="C35" s="150"/>
      <c r="D35" s="150"/>
      <c r="E35" s="151"/>
      <c r="F35" s="149"/>
      <c r="G35" s="152"/>
      <c r="H35" s="149"/>
      <c r="I35" s="14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49"/>
      <c r="B36" s="150"/>
      <c r="C36" s="150"/>
      <c r="D36" s="150"/>
      <c r="E36" s="151"/>
      <c r="F36" s="149"/>
      <c r="G36" s="152"/>
      <c r="H36" s="149"/>
      <c r="I36" s="14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49"/>
      <c r="B37" s="150"/>
      <c r="C37" s="150"/>
      <c r="D37" s="150"/>
      <c r="E37" s="151"/>
      <c r="F37" s="149"/>
      <c r="G37" s="152"/>
      <c r="H37" s="149"/>
      <c r="I37" s="14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49"/>
      <c r="B38" s="150"/>
      <c r="C38" s="150"/>
      <c r="D38" s="150"/>
      <c r="E38" s="151"/>
      <c r="F38" s="149"/>
      <c r="G38" s="152"/>
      <c r="H38" s="149"/>
      <c r="I38" s="14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49"/>
      <c r="B39" s="150"/>
      <c r="C39" s="150"/>
      <c r="D39" s="150"/>
      <c r="E39" s="151"/>
      <c r="F39" s="149"/>
      <c r="G39" s="152"/>
      <c r="H39" s="149"/>
      <c r="I39" s="14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49"/>
      <c r="B40" s="150"/>
      <c r="C40" s="150"/>
      <c r="D40" s="150"/>
      <c r="E40" s="151"/>
      <c r="F40" s="149"/>
      <c r="G40" s="152"/>
      <c r="H40" s="149"/>
      <c r="I40" s="14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49"/>
      <c r="B41" s="150"/>
      <c r="C41" s="150"/>
      <c r="D41" s="150"/>
      <c r="E41" s="151"/>
      <c r="F41" s="149"/>
      <c r="G41" s="152"/>
      <c r="H41" s="149"/>
      <c r="I41" s="14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49"/>
      <c r="B42" s="150"/>
      <c r="C42" s="150"/>
      <c r="D42" s="150"/>
      <c r="E42" s="151"/>
      <c r="F42" s="149"/>
      <c r="G42" s="152"/>
      <c r="H42" s="149"/>
      <c r="I42" s="14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49"/>
      <c r="B43" s="150"/>
      <c r="C43" s="150"/>
      <c r="D43" s="150"/>
      <c r="E43" s="151"/>
      <c r="F43" s="149"/>
      <c r="G43" s="152"/>
      <c r="H43" s="149"/>
      <c r="I43" s="14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49"/>
      <c r="B44" s="150"/>
      <c r="C44" s="150"/>
      <c r="D44" s="150"/>
      <c r="E44" s="151"/>
      <c r="F44" s="149"/>
      <c r="G44" s="152"/>
      <c r="H44" s="149"/>
      <c r="I44" s="14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49"/>
      <c r="B45" s="150"/>
      <c r="C45" s="150"/>
      <c r="D45" s="150"/>
      <c r="E45" s="151"/>
      <c r="F45" s="149"/>
      <c r="G45" s="152"/>
      <c r="H45" s="149"/>
      <c r="I45" s="14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49"/>
      <c r="B46" s="150"/>
      <c r="C46" s="150"/>
      <c r="D46" s="150"/>
      <c r="E46" s="151"/>
      <c r="F46" s="149"/>
      <c r="G46" s="152"/>
      <c r="H46" s="149"/>
      <c r="I46" s="14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49"/>
      <c r="B47" s="150"/>
      <c r="C47" s="150"/>
      <c r="D47" s="150"/>
      <c r="E47" s="151"/>
      <c r="F47" s="149"/>
      <c r="G47" s="152"/>
      <c r="H47" s="149"/>
      <c r="I47" s="14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49"/>
      <c r="B48" s="150"/>
      <c r="C48" s="150"/>
      <c r="D48" s="150"/>
      <c r="E48" s="151"/>
      <c r="F48" s="149"/>
      <c r="G48" s="152"/>
      <c r="H48" s="149"/>
      <c r="I48" s="14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49"/>
      <c r="B49" s="150"/>
      <c r="C49" s="150"/>
      <c r="D49" s="150"/>
      <c r="E49" s="151"/>
      <c r="F49" s="149"/>
      <c r="G49" s="152"/>
      <c r="H49" s="149"/>
      <c r="I49" s="14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49"/>
      <c r="B50" s="150"/>
      <c r="C50" s="150"/>
      <c r="D50" s="150"/>
      <c r="E50" s="151"/>
      <c r="F50" s="149"/>
      <c r="G50" s="152"/>
      <c r="H50" s="149"/>
      <c r="I50" s="14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49"/>
      <c r="B51" s="150"/>
      <c r="C51" s="150"/>
      <c r="D51" s="150"/>
      <c r="E51" s="151"/>
      <c r="F51" s="149"/>
      <c r="G51" s="152"/>
      <c r="H51" s="149"/>
      <c r="I51" s="14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49"/>
      <c r="B52" s="150"/>
      <c r="C52" s="150"/>
      <c r="D52" s="150"/>
      <c r="E52" s="151"/>
      <c r="F52" s="149"/>
      <c r="G52" s="152"/>
      <c r="H52" s="149"/>
      <c r="I52" s="14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49"/>
      <c r="B53" s="150"/>
      <c r="C53" s="150"/>
      <c r="D53" s="150"/>
      <c r="E53" s="151"/>
      <c r="F53" s="149"/>
      <c r="G53" s="152"/>
      <c r="H53" s="149"/>
      <c r="I53" s="14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49"/>
      <c r="B54" s="150"/>
      <c r="C54" s="150"/>
      <c r="D54" s="150"/>
      <c r="E54" s="151"/>
      <c r="F54" s="149"/>
      <c r="G54" s="152"/>
      <c r="H54" s="149"/>
      <c r="I54" s="14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49"/>
      <c r="B55" s="150"/>
      <c r="C55" s="150"/>
      <c r="D55" s="150"/>
      <c r="E55" s="151"/>
      <c r="F55" s="149"/>
      <c r="G55" s="152"/>
      <c r="H55" s="149"/>
      <c r="I55" s="14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49"/>
      <c r="B56" s="150"/>
      <c r="C56" s="150"/>
      <c r="D56" s="150"/>
      <c r="E56" s="151"/>
      <c r="F56" s="149"/>
      <c r="G56" s="152"/>
      <c r="H56" s="149"/>
      <c r="I56" s="14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49"/>
      <c r="B57" s="150"/>
      <c r="C57" s="150"/>
      <c r="D57" s="150"/>
      <c r="E57" s="151"/>
      <c r="F57" s="149"/>
      <c r="G57" s="152"/>
      <c r="H57" s="149"/>
      <c r="I57" s="14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49"/>
      <c r="B58" s="150"/>
      <c r="C58" s="150"/>
      <c r="D58" s="150"/>
      <c r="E58" s="151"/>
      <c r="F58" s="149"/>
      <c r="G58" s="152"/>
      <c r="H58" s="149"/>
      <c r="I58" s="14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49"/>
      <c r="B59" s="150"/>
      <c r="C59" s="150"/>
      <c r="D59" s="150"/>
      <c r="E59" s="151"/>
      <c r="F59" s="149"/>
      <c r="G59" s="152"/>
      <c r="H59" s="149"/>
      <c r="I59" s="14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49"/>
      <c r="B60" s="153"/>
      <c r="C60" s="153"/>
      <c r="D60" s="153"/>
      <c r="E60" s="151"/>
      <c r="F60" s="154"/>
      <c r="G60" s="154"/>
      <c r="H60" s="154"/>
      <c r="I60" s="14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49"/>
      <c r="B61" s="150"/>
      <c r="C61" s="150"/>
      <c r="D61" s="150"/>
      <c r="E61" s="151"/>
      <c r="F61" s="149"/>
      <c r="G61" s="152"/>
      <c r="H61" s="149"/>
      <c r="I61" s="14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49"/>
      <c r="B62" s="150"/>
      <c r="C62" s="150"/>
      <c r="D62" s="150"/>
      <c r="E62" s="151"/>
      <c r="F62" s="149"/>
      <c r="G62" s="152"/>
      <c r="H62" s="149"/>
      <c r="I62" s="14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49"/>
      <c r="B63" s="150"/>
      <c r="C63" s="150"/>
      <c r="D63" s="150"/>
      <c r="E63" s="151"/>
      <c r="F63" s="149"/>
      <c r="G63" s="152"/>
      <c r="H63" s="149"/>
      <c r="I63" s="14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49"/>
      <c r="B64" s="150"/>
      <c r="C64" s="150"/>
      <c r="D64" s="150"/>
      <c r="E64" s="151"/>
      <c r="F64" s="149"/>
      <c r="G64" s="152"/>
      <c r="H64" s="149"/>
      <c r="I64" s="14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49"/>
      <c r="B65" s="150"/>
      <c r="C65" s="150"/>
      <c r="D65" s="150"/>
      <c r="E65" s="151"/>
      <c r="F65" s="149"/>
      <c r="G65" s="152"/>
      <c r="H65" s="149"/>
      <c r="I65" s="14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49"/>
      <c r="B66" s="150"/>
      <c r="C66" s="150"/>
      <c r="D66" s="150"/>
      <c r="E66" s="151"/>
      <c r="F66" s="149"/>
      <c r="G66" s="152"/>
      <c r="H66" s="149"/>
      <c r="I66" s="14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49"/>
      <c r="B67" s="150"/>
      <c r="C67" s="150"/>
      <c r="D67" s="150"/>
      <c r="E67" s="151"/>
      <c r="F67" s="149"/>
      <c r="G67" s="152"/>
      <c r="H67" s="149"/>
      <c r="I67" s="14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49"/>
      <c r="B68" s="150"/>
      <c r="C68" s="150"/>
      <c r="D68" s="150"/>
      <c r="E68" s="151"/>
      <c r="F68" s="149"/>
      <c r="G68" s="152"/>
      <c r="H68" s="149"/>
      <c r="I68" s="14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49"/>
      <c r="B69" s="150"/>
      <c r="C69" s="150"/>
      <c r="D69" s="150"/>
      <c r="E69" s="151"/>
      <c r="F69" s="149"/>
      <c r="G69" s="152"/>
      <c r="H69" s="149"/>
      <c r="I69" s="14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49"/>
      <c r="B70" s="150"/>
      <c r="C70" s="150"/>
      <c r="D70" s="150"/>
      <c r="E70" s="151"/>
      <c r="F70" s="149"/>
      <c r="G70" s="152"/>
      <c r="H70" s="149"/>
      <c r="I70" s="14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49"/>
      <c r="B71" s="150"/>
      <c r="C71" s="150"/>
      <c r="D71" s="150"/>
      <c r="E71" s="151"/>
      <c r="F71" s="149"/>
      <c r="G71" s="152"/>
      <c r="H71" s="149"/>
      <c r="I71" s="14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49"/>
      <c r="B72" s="150"/>
      <c r="C72" s="150"/>
      <c r="D72" s="150"/>
      <c r="E72" s="151"/>
      <c r="F72" s="149"/>
      <c r="G72" s="152"/>
      <c r="H72" s="149"/>
      <c r="I72" s="14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49"/>
      <c r="B73" s="150"/>
      <c r="C73" s="150"/>
      <c r="D73" s="150"/>
      <c r="E73" s="151"/>
      <c r="F73" s="149"/>
      <c r="G73" s="152"/>
      <c r="H73" s="149"/>
      <c r="I73" s="14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49"/>
      <c r="B74" s="150"/>
      <c r="C74" s="150"/>
      <c r="D74" s="150"/>
      <c r="E74" s="151"/>
      <c r="F74" s="149"/>
      <c r="G74" s="152"/>
      <c r="H74" s="149"/>
      <c r="I74" s="14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49"/>
      <c r="B75" s="150"/>
      <c r="C75" s="150"/>
      <c r="D75" s="150"/>
      <c r="E75" s="151"/>
      <c r="F75" s="149"/>
      <c r="G75" s="152"/>
      <c r="H75" s="149"/>
      <c r="I75" s="14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49"/>
      <c r="B76" s="150"/>
      <c r="C76" s="150"/>
      <c r="D76" s="150"/>
      <c r="E76" s="151"/>
      <c r="F76" s="149"/>
      <c r="G76" s="152"/>
      <c r="H76" s="149"/>
      <c r="I76" s="14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49"/>
      <c r="B77" s="150"/>
      <c r="C77" s="150"/>
      <c r="D77" s="150"/>
      <c r="E77" s="151"/>
      <c r="F77" s="149"/>
      <c r="G77" s="152"/>
      <c r="H77" s="149"/>
      <c r="I77" s="14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49"/>
      <c r="B78" s="150"/>
      <c r="C78" s="150"/>
      <c r="D78" s="150"/>
      <c r="E78" s="151"/>
      <c r="F78" s="149"/>
      <c r="G78" s="152"/>
      <c r="H78" s="149"/>
      <c r="I78" s="14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49"/>
      <c r="B79" s="150"/>
      <c r="C79" s="150"/>
      <c r="D79" s="150"/>
      <c r="E79" s="151"/>
      <c r="F79" s="149"/>
      <c r="G79" s="152"/>
      <c r="H79" s="149"/>
      <c r="I79" s="14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49"/>
      <c r="B80" s="150"/>
      <c r="C80" s="150"/>
      <c r="D80" s="150"/>
      <c r="E80" s="151"/>
      <c r="F80" s="149"/>
      <c r="G80" s="152"/>
      <c r="H80" s="149"/>
      <c r="I80" s="14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49"/>
      <c r="B81" s="150"/>
      <c r="C81" s="150"/>
      <c r="D81" s="150"/>
      <c r="E81" s="151"/>
      <c r="F81" s="149"/>
      <c r="G81" s="152"/>
      <c r="H81" s="149"/>
      <c r="I81" s="14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49"/>
      <c r="B82" s="150"/>
      <c r="C82" s="150"/>
      <c r="D82" s="150"/>
      <c r="E82" s="151"/>
      <c r="F82" s="149"/>
      <c r="G82" s="152"/>
      <c r="H82" s="149"/>
      <c r="I82" s="14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49"/>
      <c r="B83" s="150"/>
      <c r="C83" s="150"/>
      <c r="D83" s="150"/>
      <c r="E83" s="151"/>
      <c r="F83" s="149"/>
      <c r="G83" s="152"/>
      <c r="H83" s="149"/>
      <c r="I83" s="14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49"/>
      <c r="B84" s="150"/>
      <c r="C84" s="150"/>
      <c r="D84" s="150"/>
      <c r="E84" s="151"/>
      <c r="F84" s="149"/>
      <c r="G84" s="152"/>
      <c r="H84" s="149"/>
      <c r="I84" s="14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49"/>
      <c r="B85" s="150"/>
      <c r="C85" s="150"/>
      <c r="D85" s="150"/>
      <c r="E85" s="151"/>
      <c r="F85" s="149"/>
      <c r="G85" s="152"/>
      <c r="H85" s="149"/>
      <c r="I85" s="14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14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14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14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14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14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14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14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14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14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14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14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14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14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14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14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14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14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14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14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14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14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14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14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14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14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14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14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14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14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14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14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14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14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14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14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14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14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14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14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14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14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14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14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14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14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14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14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14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14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14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14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14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14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14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14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14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14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14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14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14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14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14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14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14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14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14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14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14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14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14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14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14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14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14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14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14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14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14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14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14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14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14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14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14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14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14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14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14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14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14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14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14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14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14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14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14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14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14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14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14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14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14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14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14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14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14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14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14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14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14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14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14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14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14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14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14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14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14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14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14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14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14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14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14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14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14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14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14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14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14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14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14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14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14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14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14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14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14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14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14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14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14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14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14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14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14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14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14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14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14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14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14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14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14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14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14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14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14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14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14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14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14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14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14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14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14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14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14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14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14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14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14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14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14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14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14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14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14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14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14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14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14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14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14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14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14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14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14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14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14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14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14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14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14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14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14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14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14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14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14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14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14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14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14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14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14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14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14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14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14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14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14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14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14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14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14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14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14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14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14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14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14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14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14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14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14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14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14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14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14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14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14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14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14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14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14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14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14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14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14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14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14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14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14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14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14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14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14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14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14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14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14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14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14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14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14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14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14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14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14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14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14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14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14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14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14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14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14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14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14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14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14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14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14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14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14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14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14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14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14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14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14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14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14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14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14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14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14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14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14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14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14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14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14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14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14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14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14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14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14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14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14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14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14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14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14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14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14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14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14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14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14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14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14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14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14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14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14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14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14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14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14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14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14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14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14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14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14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14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14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14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14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14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14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14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14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14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14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14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14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14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14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14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14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14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14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14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14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14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14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14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14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14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14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14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14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14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14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14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14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14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14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14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14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14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14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14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14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14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14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14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14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14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14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14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14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14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14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14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14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14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14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14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14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14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14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14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14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14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14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14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14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14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14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14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14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14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14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14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14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14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14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14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14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14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14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14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14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14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14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14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14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14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14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14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14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14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14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14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14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14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14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14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14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14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14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14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14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14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14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14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14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14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14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14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14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14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14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14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14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14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14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14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14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14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14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14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14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14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14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14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14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14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14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14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14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14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14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14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14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14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14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14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14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14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14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14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14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14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14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14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14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14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14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14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14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14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14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14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14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14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14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14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14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14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14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14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14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14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14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14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14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14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14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14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14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14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14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14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14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14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14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14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14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14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14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14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14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14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14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14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14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14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14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14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14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14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14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14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14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14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14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14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14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14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14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14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14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14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14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14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14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14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14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14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14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14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14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14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14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14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14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14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14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14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14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14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14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14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14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14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14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14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14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14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14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14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14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14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14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14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14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14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14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14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14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14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14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14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14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14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14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14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14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14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14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14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14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14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14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14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14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14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14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14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14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14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14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14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14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14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14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14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14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14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14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14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14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14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14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14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14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14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14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14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14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14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14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14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14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14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14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14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14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14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14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14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14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14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14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14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14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14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14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14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14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14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14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14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14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14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14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14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14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14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14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14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14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14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14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14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14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14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14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14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14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14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14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14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14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14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14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14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14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14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14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14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14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14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14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14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14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14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14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14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14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14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14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14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14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14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14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14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14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14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14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14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14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14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14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14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14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14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14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14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14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14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14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14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14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14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14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14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14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14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14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14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14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14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14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14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14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14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14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14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14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14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14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14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14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14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14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14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14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14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14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14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14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14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14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14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14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14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14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14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14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14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14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14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14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14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14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14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14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14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14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14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14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14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14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14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14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14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14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14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14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14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14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14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14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14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14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14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14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14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14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14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14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14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14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14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14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14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14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14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14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14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14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14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14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14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14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14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14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14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14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14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14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14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14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14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14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14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14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14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14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14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14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14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14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14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14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14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14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14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14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14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14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14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14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14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14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14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14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14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14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14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14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14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14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14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14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14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14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14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14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14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14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14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14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14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14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14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14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14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14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14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14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14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14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14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14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14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14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14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14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14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14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14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14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14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14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14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14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14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14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14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14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14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14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14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14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14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14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14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14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14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14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14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14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14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14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14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14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14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14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14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14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14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14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14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14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14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14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14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14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14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14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14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14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14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14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14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14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14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14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14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14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14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14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14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14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14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14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14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14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14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14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14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14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148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148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148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148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148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148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148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148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148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148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148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148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148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Nhấp và nhập một giá trị từ danh sách các mục" sqref="F9:F33">
      <formula1>"Untested,Pass,Fail,Block"</formula1>
    </dataValidation>
    <dataValidation type="list" allowBlank="1" showInputMessage="1" showErrorMessage="1" prompt=" - " sqref="F1 F7:F8 F34:F141">
      <formula1>$J$2:$J$6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3.29"/>
    <col customWidth="1" min="2" max="2" width="23.14"/>
    <col customWidth="1" min="3" max="3" width="29.29"/>
    <col customWidth="1" min="4" max="4" width="32.57"/>
    <col customWidth="1" min="5" max="5" width="29.43"/>
    <col customWidth="1" min="6" max="6" width="16.57"/>
    <col customWidth="1" min="7" max="7" width="12.0"/>
    <col customWidth="1" min="8" max="8" width="20.14"/>
    <col customWidth="1" min="9" max="9" width="9.43"/>
    <col customWidth="1" hidden="1" min="10" max="10" width="8.14"/>
    <col customWidth="1" min="11" max="26" width="9.14"/>
  </cols>
  <sheetData>
    <row r="1" ht="13.5" customHeight="1">
      <c r="A1" s="39"/>
      <c r="B1" s="41"/>
      <c r="C1" s="41"/>
      <c r="D1" s="41"/>
      <c r="E1" s="41"/>
      <c r="F1" s="38"/>
      <c r="G1" s="52"/>
      <c r="H1" s="38"/>
      <c r="I1" s="55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5.0" customHeight="1">
      <c r="A2" s="64" t="s">
        <v>117</v>
      </c>
      <c r="B2" s="70" t="s">
        <v>393</v>
      </c>
      <c r="C2" s="22"/>
      <c r="D2" s="22"/>
      <c r="E2" s="22"/>
      <c r="F2" s="22"/>
      <c r="G2" s="22"/>
      <c r="H2" s="24"/>
      <c r="I2" s="55"/>
      <c r="J2" s="58" t="s">
        <v>140</v>
      </c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25.5" customHeight="1">
      <c r="A3" s="75" t="s">
        <v>145</v>
      </c>
      <c r="B3" s="70" t="s">
        <v>185</v>
      </c>
      <c r="C3" s="22"/>
      <c r="D3" s="22"/>
      <c r="E3" s="22"/>
      <c r="F3" s="22"/>
      <c r="G3" s="22"/>
      <c r="H3" s="24"/>
      <c r="I3" s="55"/>
      <c r="J3" s="58" t="s">
        <v>151</v>
      </c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8.0" customHeight="1">
      <c r="A4" s="64" t="s">
        <v>156</v>
      </c>
      <c r="B4" s="70" t="s">
        <v>157</v>
      </c>
      <c r="C4" s="22"/>
      <c r="D4" s="22"/>
      <c r="E4" s="22"/>
      <c r="F4" s="22"/>
      <c r="G4" s="22"/>
      <c r="H4" s="24"/>
      <c r="I4" s="55"/>
      <c r="J4" s="58" t="s">
        <v>165</v>
      </c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9.5" customHeight="1">
      <c r="A5" s="82" t="s">
        <v>140</v>
      </c>
      <c r="B5" s="85" t="s">
        <v>151</v>
      </c>
      <c r="C5" s="85" t="s">
        <v>176</v>
      </c>
      <c r="D5" s="85" t="s">
        <v>165</v>
      </c>
      <c r="E5" s="88" t="s">
        <v>178</v>
      </c>
      <c r="F5" s="89" t="s">
        <v>181</v>
      </c>
      <c r="G5" s="22"/>
      <c r="H5" s="24"/>
      <c r="I5" s="90"/>
      <c r="J5" s="58" t="s">
        <v>176</v>
      </c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5.0" customHeight="1">
      <c r="A6" s="101">
        <f>COUNTIF(F9:F996,"Passed")</f>
        <v>0</v>
      </c>
      <c r="B6" s="104">
        <f>COUNTIF(F9:F996,"Failed")</f>
        <v>0</v>
      </c>
      <c r="C6" s="104">
        <f>F6-E6-D6-B6-A6</f>
        <v>25</v>
      </c>
      <c r="D6" s="104">
        <f>COUNTIF(F$9:F$996,"Blocked")</f>
        <v>0</v>
      </c>
      <c r="E6" s="107">
        <f>COUNTIF(F$9:F$996,"Skipped")</f>
        <v>0</v>
      </c>
      <c r="F6" s="110">
        <f>COUNTA(A9:A996)</f>
        <v>25</v>
      </c>
      <c r="G6" s="22"/>
      <c r="H6" s="24"/>
      <c r="I6" s="90"/>
      <c r="J6" s="58" t="s">
        <v>178</v>
      </c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0" customHeight="1">
      <c r="A7" s="58"/>
      <c r="B7" s="58"/>
      <c r="C7" s="58"/>
      <c r="D7" s="111"/>
      <c r="E7" s="111"/>
      <c r="F7" s="112"/>
      <c r="G7" s="112"/>
      <c r="H7" s="112"/>
      <c r="I7" s="90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25.5" customHeight="1">
      <c r="A8" s="113" t="s">
        <v>261</v>
      </c>
      <c r="B8" s="114" t="s">
        <v>264</v>
      </c>
      <c r="C8" s="114" t="s">
        <v>266</v>
      </c>
      <c r="D8" s="114" t="s">
        <v>267</v>
      </c>
      <c r="E8" s="115" t="s">
        <v>270</v>
      </c>
      <c r="F8" s="115" t="s">
        <v>272</v>
      </c>
      <c r="G8" s="115" t="s">
        <v>273</v>
      </c>
      <c r="H8" s="116" t="s">
        <v>5</v>
      </c>
      <c r="I8" s="117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118" t="s">
        <v>404</v>
      </c>
      <c r="B9" s="195" t="s">
        <v>110</v>
      </c>
      <c r="C9" s="185" t="s">
        <v>405</v>
      </c>
      <c r="D9" s="185" t="s">
        <v>406</v>
      </c>
      <c r="E9" s="121"/>
      <c r="F9" s="189" t="s">
        <v>176</v>
      </c>
      <c r="G9" s="123">
        <v>46312.0</v>
      </c>
      <c r="H9" s="201"/>
      <c r="I9" s="13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8" t="s">
        <v>413</v>
      </c>
      <c r="B10" s="195" t="s">
        <v>113</v>
      </c>
      <c r="C10" s="195" t="s">
        <v>416</v>
      </c>
      <c r="D10" s="197" t="s">
        <v>417</v>
      </c>
      <c r="E10" s="127"/>
      <c r="F10" s="198" t="s">
        <v>176</v>
      </c>
      <c r="G10" s="130">
        <v>46312.0</v>
      </c>
      <c r="H10" s="203"/>
      <c r="I10" s="13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8" t="s">
        <v>427</v>
      </c>
      <c r="B11" s="195" t="s">
        <v>119</v>
      </c>
      <c r="C11" s="185" t="s">
        <v>428</v>
      </c>
      <c r="D11" s="185" t="s">
        <v>429</v>
      </c>
      <c r="E11" s="138"/>
      <c r="F11" s="189" t="s">
        <v>176</v>
      </c>
      <c r="G11" s="123">
        <v>46312.0</v>
      </c>
      <c r="H11" s="201"/>
      <c r="I11" s="125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118" t="s">
        <v>433</v>
      </c>
      <c r="B12" s="197" t="s">
        <v>127</v>
      </c>
      <c r="C12" s="197" t="s">
        <v>434</v>
      </c>
      <c r="D12" s="197" t="s">
        <v>436</v>
      </c>
      <c r="E12" s="127"/>
      <c r="F12" s="198" t="s">
        <v>176</v>
      </c>
      <c r="G12" s="130">
        <v>46312.0</v>
      </c>
      <c r="H12" s="203"/>
      <c r="I12" s="13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8" t="s">
        <v>441</v>
      </c>
      <c r="B13" s="185" t="s">
        <v>132</v>
      </c>
      <c r="C13" s="185" t="s">
        <v>443</v>
      </c>
      <c r="D13" s="185" t="s">
        <v>444</v>
      </c>
      <c r="E13" s="121"/>
      <c r="F13" s="189" t="s">
        <v>176</v>
      </c>
      <c r="G13" s="123">
        <v>46312.0</v>
      </c>
      <c r="H13" s="207"/>
      <c r="I13" s="13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8" t="s">
        <v>451</v>
      </c>
      <c r="B14" s="197" t="s">
        <v>139</v>
      </c>
      <c r="C14" s="197" t="s">
        <v>452</v>
      </c>
      <c r="D14" s="197" t="s">
        <v>453</v>
      </c>
      <c r="E14" s="143"/>
      <c r="F14" s="198" t="s">
        <v>176</v>
      </c>
      <c r="G14" s="130">
        <v>46312.0</v>
      </c>
      <c r="H14" s="203"/>
      <c r="I14" s="125"/>
      <c r="J14" s="58"/>
      <c r="K14" s="58"/>
      <c r="L14" s="58"/>
      <c r="M14" s="58"/>
      <c r="N14" s="41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118" t="s">
        <v>458</v>
      </c>
      <c r="B15" s="185" t="s">
        <v>144</v>
      </c>
      <c r="C15" s="185" t="s">
        <v>461</v>
      </c>
      <c r="D15" s="185" t="s">
        <v>462</v>
      </c>
      <c r="E15" s="121"/>
      <c r="F15" s="189" t="s">
        <v>176</v>
      </c>
      <c r="G15" s="123">
        <v>46312.0</v>
      </c>
      <c r="H15" s="201"/>
      <c r="I15" s="13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8" t="s">
        <v>466</v>
      </c>
      <c r="B16" s="197" t="s">
        <v>148</v>
      </c>
      <c r="C16" s="197" t="s">
        <v>467</v>
      </c>
      <c r="D16" s="197" t="s">
        <v>468</v>
      </c>
      <c r="E16" s="127"/>
      <c r="F16" s="198" t="s">
        <v>176</v>
      </c>
      <c r="G16" s="130">
        <v>46312.0</v>
      </c>
      <c r="H16" s="203"/>
      <c r="I16" s="13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8" t="s">
        <v>473</v>
      </c>
      <c r="B17" s="185" t="s">
        <v>153</v>
      </c>
      <c r="C17" s="185" t="s">
        <v>476</v>
      </c>
      <c r="D17" s="185" t="s">
        <v>477</v>
      </c>
      <c r="E17" s="121"/>
      <c r="F17" s="189" t="s">
        <v>176</v>
      </c>
      <c r="G17" s="123">
        <v>46312.0</v>
      </c>
      <c r="H17" s="201"/>
      <c r="I17" s="13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8" t="s">
        <v>481</v>
      </c>
      <c r="B18" s="197" t="s">
        <v>482</v>
      </c>
      <c r="C18" s="197" t="s">
        <v>483</v>
      </c>
      <c r="D18" s="197" t="s">
        <v>484</v>
      </c>
      <c r="E18" s="127"/>
      <c r="F18" s="198" t="s">
        <v>176</v>
      </c>
      <c r="G18" s="130">
        <v>46312.0</v>
      </c>
      <c r="H18" s="203"/>
      <c r="I18" s="13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8" t="s">
        <v>488</v>
      </c>
      <c r="B19" s="185" t="s">
        <v>489</v>
      </c>
      <c r="C19" s="185" t="s">
        <v>491</v>
      </c>
      <c r="D19" s="185" t="s">
        <v>492</v>
      </c>
      <c r="E19" s="121"/>
      <c r="F19" s="189" t="s">
        <v>176</v>
      </c>
      <c r="G19" s="123">
        <v>46312.0</v>
      </c>
      <c r="H19" s="201"/>
      <c r="I19" s="13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8" t="s">
        <v>495</v>
      </c>
      <c r="B20" s="197" t="s">
        <v>166</v>
      </c>
      <c r="C20" s="197" t="s">
        <v>499</v>
      </c>
      <c r="D20" s="197" t="s">
        <v>500</v>
      </c>
      <c r="E20" s="127"/>
      <c r="F20" s="198" t="s">
        <v>176</v>
      </c>
      <c r="G20" s="130">
        <v>46312.0</v>
      </c>
      <c r="H20" s="203"/>
      <c r="I20" s="13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8" t="s">
        <v>504</v>
      </c>
      <c r="B21" s="185" t="s">
        <v>169</v>
      </c>
      <c r="C21" s="185" t="s">
        <v>505</v>
      </c>
      <c r="D21" s="185" t="s">
        <v>506</v>
      </c>
      <c r="E21" s="121"/>
      <c r="F21" s="189" t="s">
        <v>176</v>
      </c>
      <c r="G21" s="123">
        <v>46312.0</v>
      </c>
      <c r="H21" s="201"/>
      <c r="I21" s="13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1.5" customHeight="1">
      <c r="A22" s="118" t="s">
        <v>509</v>
      </c>
      <c r="B22" s="197" t="s">
        <v>173</v>
      </c>
      <c r="C22" s="197" t="s">
        <v>511</v>
      </c>
      <c r="D22" s="197" t="s">
        <v>513</v>
      </c>
      <c r="E22" s="127"/>
      <c r="F22" s="198" t="s">
        <v>176</v>
      </c>
      <c r="G22" s="130">
        <v>46312.0</v>
      </c>
      <c r="H22" s="203"/>
      <c r="I22" s="13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8" t="s">
        <v>514</v>
      </c>
      <c r="B23" s="185" t="s">
        <v>179</v>
      </c>
      <c r="C23" s="185" t="s">
        <v>516</v>
      </c>
      <c r="D23" s="185" t="s">
        <v>518</v>
      </c>
      <c r="E23" s="121"/>
      <c r="F23" s="189" t="s">
        <v>176</v>
      </c>
      <c r="G23" s="123">
        <v>46312.0</v>
      </c>
      <c r="H23" s="201"/>
      <c r="I23" s="13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8" t="s">
        <v>521</v>
      </c>
      <c r="B24" s="197" t="s">
        <v>184</v>
      </c>
      <c r="C24" s="197" t="s">
        <v>524</v>
      </c>
      <c r="D24" s="197" t="s">
        <v>525</v>
      </c>
      <c r="E24" s="143"/>
      <c r="F24" s="198" t="s">
        <v>176</v>
      </c>
      <c r="G24" s="130">
        <v>46312.0</v>
      </c>
      <c r="H24" s="203"/>
      <c r="I24" s="13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8" t="s">
        <v>526</v>
      </c>
      <c r="B25" s="185" t="s">
        <v>189</v>
      </c>
      <c r="C25" s="185" t="s">
        <v>527</v>
      </c>
      <c r="D25" s="185" t="s">
        <v>528</v>
      </c>
      <c r="E25" s="121"/>
      <c r="F25" s="189" t="s">
        <v>176</v>
      </c>
      <c r="G25" s="123">
        <v>46312.0</v>
      </c>
      <c r="H25" s="201"/>
      <c r="I25" s="13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8" t="s">
        <v>529</v>
      </c>
      <c r="B26" s="197" t="s">
        <v>194</v>
      </c>
      <c r="C26" s="197" t="s">
        <v>530</v>
      </c>
      <c r="D26" s="197" t="s">
        <v>531</v>
      </c>
      <c r="E26" s="143"/>
      <c r="F26" s="198" t="s">
        <v>176</v>
      </c>
      <c r="G26" s="130">
        <v>46312.0</v>
      </c>
      <c r="H26" s="203"/>
      <c r="I26" s="13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8" t="s">
        <v>532</v>
      </c>
      <c r="B27" s="185" t="s">
        <v>198</v>
      </c>
      <c r="C27" s="185" t="s">
        <v>533</v>
      </c>
      <c r="D27" s="185" t="s">
        <v>534</v>
      </c>
      <c r="E27" s="121"/>
      <c r="F27" s="189" t="s">
        <v>176</v>
      </c>
      <c r="G27" s="123">
        <v>46312.0</v>
      </c>
      <c r="H27" s="201"/>
      <c r="I27" s="13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8" t="s">
        <v>536</v>
      </c>
      <c r="B28" s="197" t="s">
        <v>202</v>
      </c>
      <c r="C28" s="197" t="s">
        <v>537</v>
      </c>
      <c r="D28" s="197" t="s">
        <v>538</v>
      </c>
      <c r="E28" s="127"/>
      <c r="F28" s="198" t="s">
        <v>176</v>
      </c>
      <c r="G28" s="130">
        <v>46312.0</v>
      </c>
      <c r="H28" s="203"/>
      <c r="I28" s="13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8" t="s">
        <v>539</v>
      </c>
      <c r="B29" s="185" t="s">
        <v>208</v>
      </c>
      <c r="C29" s="185" t="s">
        <v>540</v>
      </c>
      <c r="D29" s="185" t="s">
        <v>541</v>
      </c>
      <c r="E29" s="121"/>
      <c r="F29" s="189" t="s">
        <v>176</v>
      </c>
      <c r="G29" s="123">
        <v>46312.0</v>
      </c>
      <c r="H29" s="201"/>
      <c r="I29" s="13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8" t="s">
        <v>542</v>
      </c>
      <c r="B30" s="197" t="s">
        <v>211</v>
      </c>
      <c r="C30" s="197" t="s">
        <v>543</v>
      </c>
      <c r="D30" s="197" t="s">
        <v>544</v>
      </c>
      <c r="E30" s="127"/>
      <c r="F30" s="198" t="s">
        <v>176</v>
      </c>
      <c r="G30" s="130">
        <v>46312.0</v>
      </c>
      <c r="H30" s="203"/>
      <c r="I30" s="13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8" t="s">
        <v>546</v>
      </c>
      <c r="B31" s="185" t="s">
        <v>215</v>
      </c>
      <c r="C31" s="185" t="s">
        <v>547</v>
      </c>
      <c r="D31" s="185" t="s">
        <v>548</v>
      </c>
      <c r="E31" s="138"/>
      <c r="F31" s="189" t="s">
        <v>176</v>
      </c>
      <c r="G31" s="123">
        <v>46312.0</v>
      </c>
      <c r="H31" s="201"/>
      <c r="I31" s="13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8" t="s">
        <v>550</v>
      </c>
      <c r="B32" s="197" t="s">
        <v>219</v>
      </c>
      <c r="C32" s="197" t="s">
        <v>551</v>
      </c>
      <c r="D32" s="197" t="s">
        <v>552</v>
      </c>
      <c r="E32" s="127"/>
      <c r="F32" s="198" t="s">
        <v>176</v>
      </c>
      <c r="G32" s="130">
        <v>46312.0</v>
      </c>
      <c r="H32" s="203"/>
      <c r="I32" s="13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24" t="s">
        <v>553</v>
      </c>
      <c r="B33" s="185" t="s">
        <v>222</v>
      </c>
      <c r="C33" s="185" t="s">
        <v>554</v>
      </c>
      <c r="D33" s="185" t="s">
        <v>555</v>
      </c>
      <c r="E33" s="121"/>
      <c r="F33" s="189" t="s">
        <v>176</v>
      </c>
      <c r="G33" s="123" t="s">
        <v>556</v>
      </c>
      <c r="H33" s="201"/>
      <c r="I33" s="13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18"/>
      <c r="B34" s="218"/>
      <c r="C34" s="218"/>
      <c r="D34" s="218"/>
      <c r="E34" s="218"/>
      <c r="F34" s="218"/>
      <c r="G34" s="218"/>
      <c r="H34" s="218"/>
      <c r="I34" s="14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14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14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14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14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14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14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14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14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14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14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14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14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14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14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14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14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14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14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14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14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14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14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14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14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14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14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14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14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14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14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14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14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14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14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14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14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14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14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14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14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14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14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14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14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14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14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14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14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14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14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14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14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14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14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14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14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14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14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14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14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14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14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14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14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14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14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14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14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14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14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14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14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14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14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14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14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14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14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14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14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14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14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14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14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14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14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14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14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14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14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14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14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14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14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14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14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14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14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14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14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14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14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14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14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14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14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14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14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14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14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14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14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14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14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14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14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14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14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14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14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14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14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14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14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14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14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14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14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14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14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14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14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14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14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14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14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14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14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14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14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14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14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14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14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14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14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14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14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14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14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14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14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14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14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14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14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14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14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14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14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14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14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14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14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14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14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14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14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14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14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14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14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14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14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14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14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14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14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14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14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14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14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14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14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14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14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14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14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14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14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14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14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14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14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14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14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14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14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14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14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14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14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14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14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14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14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14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14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14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14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14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14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14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14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14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14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14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14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14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14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14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14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14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14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14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14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14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14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14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14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14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14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14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14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14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14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14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14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14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14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14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14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14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14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14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14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14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14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14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14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14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14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14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14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14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14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14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14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14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14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14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14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14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14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14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14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14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14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14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14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14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14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14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14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14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14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14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14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14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14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14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14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14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14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14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14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14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14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14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14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14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14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14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14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14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14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14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14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14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14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14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14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14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14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14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14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14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14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14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14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14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14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14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14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14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14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14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14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14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14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14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14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14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14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14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14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14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14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14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14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14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14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14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14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14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14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14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14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14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14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14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14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14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14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14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14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14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14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14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14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14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14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14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14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14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14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14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14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14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14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14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14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14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14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14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14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14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14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14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14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14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14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14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14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14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14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14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14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14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14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14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14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14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14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14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14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14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14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14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14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14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14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14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14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14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14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14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14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14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14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14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14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14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14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14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14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14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14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14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14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14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14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14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14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14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14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14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14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14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14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14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14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14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14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14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14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14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14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14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14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14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14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14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14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14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14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14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14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14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14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14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14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14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14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14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14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14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14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14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14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14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14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14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14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14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14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14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14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14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14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14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14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14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14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14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14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14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14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14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14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14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14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14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14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14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14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14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14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14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14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14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14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14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14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14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14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14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14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14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14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14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14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14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14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14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14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14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14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14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14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14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14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14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14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14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14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14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14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14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14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14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14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14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14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14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14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14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14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14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14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14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14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14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14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14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14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14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14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14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14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14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14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14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14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14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14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14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14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14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14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14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14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14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14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14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14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14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14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14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14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14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14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14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14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14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14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14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14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14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14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14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14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14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14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14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14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14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14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14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14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14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14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14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14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14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14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14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14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14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14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14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14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14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14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14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14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14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14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14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14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14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14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14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14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14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14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14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14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14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14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14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14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14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14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14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14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14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14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14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14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14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14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14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14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14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14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14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14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14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14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14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14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14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14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14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14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14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14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14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14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14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14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14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14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14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14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14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14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14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14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14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14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14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14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14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14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14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14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14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14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14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14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14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14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14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14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14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14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14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14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14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14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14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14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14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14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14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14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14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14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14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14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14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14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14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14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14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14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14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14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14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14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14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14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14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14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14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14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14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14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14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14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14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14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14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14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14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14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14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14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14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14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14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14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14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14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14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14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14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14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14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14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14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14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14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14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14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14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14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14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14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14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14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14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14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14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14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14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14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14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14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14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14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14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14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14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14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14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14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14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14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14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14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14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14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14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14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14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14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14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14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14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14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14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14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14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14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14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14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14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14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14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14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14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14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14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14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14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14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14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14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14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14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14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14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14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14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14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14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14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14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14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14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14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14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14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14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14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14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14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14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14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14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14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14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14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14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14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14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14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14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14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14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14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14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14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14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14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14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14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14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14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14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14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14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14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14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14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14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14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14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14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14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14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14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14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14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14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14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14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14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14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14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14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14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14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14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14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14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14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14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14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14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14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14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14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14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14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14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14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14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14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14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14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14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14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14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14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14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14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14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14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14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14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14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14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14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14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14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14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14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14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14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14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14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14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14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14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14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14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14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14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14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14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14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14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14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14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14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14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14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14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14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14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14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14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14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14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14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14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14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14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14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14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14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14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14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14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14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14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14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14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14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14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14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14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14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14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14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14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14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14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14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14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14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14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14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14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14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14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14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14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14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14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14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14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14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14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14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14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14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14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14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14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14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14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14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14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14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14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14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148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148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148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148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148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148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148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148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148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148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148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148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148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148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148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Nhấp và nhập một giá trị từ danh sách các mục" sqref="F9:F33">
      <formula1>"Untested,Pass,Fail,Block"</formula1>
    </dataValidation>
    <dataValidation type="list" allowBlank="1" showInputMessage="1" showErrorMessage="1" prompt=" - " sqref="F1 F7:F8 F34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3.29"/>
    <col customWidth="1" min="2" max="2" width="29.86"/>
    <col customWidth="1" min="3" max="3" width="35.0"/>
    <col customWidth="1" min="4" max="4" width="40.71"/>
    <col customWidth="1" min="5" max="5" width="19.29"/>
    <col customWidth="1" min="6" max="6" width="13.57"/>
    <col customWidth="1" min="7" max="7" width="14.14"/>
    <col customWidth="1" min="8" max="8" width="20.14"/>
    <col customWidth="1" min="9" max="9" width="9.43"/>
    <col customWidth="1" hidden="1" min="10" max="10" width="7.57"/>
    <col customWidth="1" min="11" max="11" width="10.29"/>
    <col customWidth="1" min="12" max="26" width="9.14"/>
  </cols>
  <sheetData>
    <row r="1" ht="13.5" customHeight="1">
      <c r="A1" s="39"/>
      <c r="B1" s="162"/>
      <c r="C1" s="162"/>
      <c r="D1" s="162"/>
      <c r="E1" s="162"/>
      <c r="F1" s="166"/>
      <c r="G1" s="52"/>
      <c r="H1" s="38"/>
      <c r="I1" s="55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5.0" customHeight="1">
      <c r="A2" s="64" t="s">
        <v>117</v>
      </c>
      <c r="B2" s="70" t="s">
        <v>392</v>
      </c>
      <c r="C2" s="22"/>
      <c r="D2" s="22"/>
      <c r="E2" s="22"/>
      <c r="F2" s="22"/>
      <c r="G2" s="22"/>
      <c r="H2" s="24"/>
      <c r="I2" s="55"/>
      <c r="J2" s="58" t="s">
        <v>140</v>
      </c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25.5" customHeight="1">
      <c r="A3" s="75" t="s">
        <v>145</v>
      </c>
      <c r="B3" s="70" t="s">
        <v>200</v>
      </c>
      <c r="C3" s="22"/>
      <c r="D3" s="22"/>
      <c r="E3" s="22"/>
      <c r="F3" s="22"/>
      <c r="G3" s="22"/>
      <c r="H3" s="24"/>
      <c r="I3" s="55"/>
      <c r="J3" s="58" t="s">
        <v>151</v>
      </c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8.0" customHeight="1">
      <c r="A4" s="64" t="s">
        <v>156</v>
      </c>
      <c r="B4" s="70" t="s">
        <v>157</v>
      </c>
      <c r="C4" s="22"/>
      <c r="D4" s="22"/>
      <c r="E4" s="22"/>
      <c r="F4" s="22"/>
      <c r="G4" s="22"/>
      <c r="H4" s="24"/>
      <c r="I4" s="55"/>
      <c r="J4" s="58" t="s">
        <v>165</v>
      </c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9.5" customHeight="1">
      <c r="A5" s="82" t="s">
        <v>140</v>
      </c>
      <c r="B5" s="85" t="s">
        <v>151</v>
      </c>
      <c r="C5" s="85" t="s">
        <v>176</v>
      </c>
      <c r="D5" s="85" t="s">
        <v>165</v>
      </c>
      <c r="E5" s="88" t="s">
        <v>178</v>
      </c>
      <c r="F5" s="89" t="s">
        <v>181</v>
      </c>
      <c r="G5" s="22"/>
      <c r="H5" s="24"/>
      <c r="I5" s="90"/>
      <c r="J5" s="58" t="s">
        <v>176</v>
      </c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5.0" customHeight="1">
      <c r="A6" s="101">
        <f>COUNTIF(F9:F996,"Passed")</f>
        <v>0</v>
      </c>
      <c r="B6" s="104">
        <f>COUNTIF(F9:F996,"Failed")</f>
        <v>0</v>
      </c>
      <c r="C6" s="104">
        <f>F6-E6-D6-B6-A6</f>
        <v>25</v>
      </c>
      <c r="D6" s="104">
        <f>COUNTIF(F$9:F$996,"Blocked")</f>
        <v>0</v>
      </c>
      <c r="E6" s="107">
        <f>COUNTIF(F$9:F$996,"Skipped")</f>
        <v>0</v>
      </c>
      <c r="F6" s="110">
        <f>COUNTA(A9:A996)</f>
        <v>25</v>
      </c>
      <c r="G6" s="22"/>
      <c r="H6" s="24"/>
      <c r="I6" s="90"/>
      <c r="J6" s="58" t="s">
        <v>178</v>
      </c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0" customHeight="1">
      <c r="A7" s="58"/>
      <c r="B7" s="58"/>
      <c r="C7" s="58"/>
      <c r="D7" s="111"/>
      <c r="E7" s="111"/>
      <c r="F7" s="111"/>
      <c r="G7" s="111"/>
      <c r="H7" s="111"/>
      <c r="I7" s="90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25.5" customHeight="1">
      <c r="A8" s="179" t="s">
        <v>261</v>
      </c>
      <c r="B8" s="179" t="s">
        <v>264</v>
      </c>
      <c r="C8" s="179" t="s">
        <v>266</v>
      </c>
      <c r="D8" s="179" t="s">
        <v>267</v>
      </c>
      <c r="E8" s="180" t="s">
        <v>270</v>
      </c>
      <c r="F8" s="180" t="s">
        <v>272</v>
      </c>
      <c r="G8" s="180" t="s">
        <v>273</v>
      </c>
      <c r="H8" s="179" t="s">
        <v>5</v>
      </c>
      <c r="I8" s="117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183" t="s">
        <v>396</v>
      </c>
      <c r="B9" s="185" t="s">
        <v>227</v>
      </c>
      <c r="C9" s="185" t="s">
        <v>399</v>
      </c>
      <c r="D9" s="185" t="s">
        <v>401</v>
      </c>
      <c r="E9" s="121"/>
      <c r="F9" s="189" t="s">
        <v>176</v>
      </c>
      <c r="G9" s="123">
        <v>46312.0</v>
      </c>
      <c r="H9" s="191"/>
      <c r="I9" s="13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</row>
    <row r="10">
      <c r="A10" s="194" t="s">
        <v>403</v>
      </c>
      <c r="B10" s="197" t="s">
        <v>230</v>
      </c>
      <c r="C10" s="197" t="s">
        <v>407</v>
      </c>
      <c r="D10" s="197" t="s">
        <v>408</v>
      </c>
      <c r="E10" s="143"/>
      <c r="F10" s="198" t="s">
        <v>176</v>
      </c>
      <c r="G10" s="130">
        <v>46312.0</v>
      </c>
      <c r="H10" s="200"/>
      <c r="I10" s="13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</row>
    <row r="11">
      <c r="A11" s="183" t="s">
        <v>409</v>
      </c>
      <c r="B11" s="185" t="s">
        <v>233</v>
      </c>
      <c r="C11" s="185" t="s">
        <v>410</v>
      </c>
      <c r="D11" s="185" t="s">
        <v>411</v>
      </c>
      <c r="E11" s="121"/>
      <c r="F11" s="189" t="s">
        <v>176</v>
      </c>
      <c r="G11" s="123">
        <v>46312.0</v>
      </c>
      <c r="H11" s="200"/>
      <c r="I11" s="13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</row>
    <row r="12">
      <c r="A12" s="194" t="s">
        <v>412</v>
      </c>
      <c r="B12" s="197" t="s">
        <v>236</v>
      </c>
      <c r="C12" s="197" t="s">
        <v>414</v>
      </c>
      <c r="D12" s="197" t="s">
        <v>415</v>
      </c>
      <c r="E12" s="127"/>
      <c r="F12" s="198" t="s">
        <v>176</v>
      </c>
      <c r="G12" s="130">
        <v>46312.0</v>
      </c>
      <c r="H12" s="200"/>
      <c r="I12" s="13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</row>
    <row r="13">
      <c r="A13" s="183" t="s">
        <v>418</v>
      </c>
      <c r="B13" s="185" t="s">
        <v>239</v>
      </c>
      <c r="C13" s="185" t="s">
        <v>419</v>
      </c>
      <c r="D13" s="185" t="s">
        <v>420</v>
      </c>
      <c r="E13" s="121"/>
      <c r="F13" s="189" t="s">
        <v>176</v>
      </c>
      <c r="G13" s="123">
        <v>46312.0</v>
      </c>
      <c r="H13" s="191"/>
      <c r="I13" s="13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</row>
    <row r="14">
      <c r="A14" s="194" t="s">
        <v>421</v>
      </c>
      <c r="B14" s="197" t="s">
        <v>242</v>
      </c>
      <c r="C14" s="197" t="s">
        <v>422</v>
      </c>
      <c r="D14" s="197" t="s">
        <v>423</v>
      </c>
      <c r="E14" s="127"/>
      <c r="F14" s="198" t="s">
        <v>176</v>
      </c>
      <c r="G14" s="130">
        <v>46312.0</v>
      </c>
      <c r="H14" s="200"/>
      <c r="I14" s="13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</row>
    <row r="15" ht="12.75" customHeight="1">
      <c r="A15" s="183" t="s">
        <v>424</v>
      </c>
      <c r="B15" s="185" t="s">
        <v>245</v>
      </c>
      <c r="C15" s="185" t="s">
        <v>425</v>
      </c>
      <c r="D15" s="185" t="s">
        <v>426</v>
      </c>
      <c r="E15" s="121"/>
      <c r="F15" s="189" t="s">
        <v>176</v>
      </c>
      <c r="G15" s="123">
        <v>46312.0</v>
      </c>
      <c r="H15" s="204"/>
      <c r="I15" s="125"/>
      <c r="J15" s="58"/>
      <c r="K15" s="5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94" t="s">
        <v>430</v>
      </c>
      <c r="B16" s="197" t="s">
        <v>248</v>
      </c>
      <c r="C16" s="197" t="s">
        <v>431</v>
      </c>
      <c r="D16" s="197" t="s">
        <v>432</v>
      </c>
      <c r="E16" s="127"/>
      <c r="F16" s="198" t="s">
        <v>176</v>
      </c>
      <c r="G16" s="130">
        <v>46312.0</v>
      </c>
      <c r="H16" s="206"/>
      <c r="I16" s="13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83" t="s">
        <v>435</v>
      </c>
      <c r="B17" s="185" t="s">
        <v>252</v>
      </c>
      <c r="C17" s="185" t="s">
        <v>437</v>
      </c>
      <c r="D17" s="185" t="s">
        <v>438</v>
      </c>
      <c r="E17" s="121"/>
      <c r="F17" s="189" t="s">
        <v>176</v>
      </c>
      <c r="G17" s="123">
        <v>46312.0</v>
      </c>
      <c r="H17" s="204"/>
      <c r="I17" s="13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94" t="s">
        <v>439</v>
      </c>
      <c r="B18" s="197" t="s">
        <v>255</v>
      </c>
      <c r="C18" s="197" t="s">
        <v>440</v>
      </c>
      <c r="D18" s="197" t="s">
        <v>442</v>
      </c>
      <c r="E18" s="127"/>
      <c r="F18" s="198" t="s">
        <v>176</v>
      </c>
      <c r="G18" s="130">
        <v>46312.0</v>
      </c>
      <c r="H18" s="206"/>
      <c r="I18" s="13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83" t="s">
        <v>445</v>
      </c>
      <c r="B19" s="185" t="s">
        <v>259</v>
      </c>
      <c r="C19" s="185" t="s">
        <v>446</v>
      </c>
      <c r="D19" s="185" t="s">
        <v>447</v>
      </c>
      <c r="E19" s="121"/>
      <c r="F19" s="189" t="s">
        <v>176</v>
      </c>
      <c r="G19" s="123">
        <v>46312.0</v>
      </c>
      <c r="H19" s="204"/>
      <c r="I19" s="13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94" t="s">
        <v>448</v>
      </c>
      <c r="B20" s="197" t="s">
        <v>263</v>
      </c>
      <c r="C20" s="197" t="s">
        <v>449</v>
      </c>
      <c r="D20" s="197" t="s">
        <v>450</v>
      </c>
      <c r="E20" s="127"/>
      <c r="F20" s="198" t="s">
        <v>176</v>
      </c>
      <c r="G20" s="130">
        <v>46312.0</v>
      </c>
      <c r="H20" s="206"/>
      <c r="I20" s="13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83" t="s">
        <v>454</v>
      </c>
      <c r="B21" s="185" t="s">
        <v>269</v>
      </c>
      <c r="C21" s="185" t="s">
        <v>455</v>
      </c>
      <c r="D21" s="185" t="s">
        <v>456</v>
      </c>
      <c r="E21" s="121"/>
      <c r="F21" s="189" t="s">
        <v>176</v>
      </c>
      <c r="G21" s="123">
        <v>46312.0</v>
      </c>
      <c r="H21" s="204"/>
      <c r="I21" s="13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94" t="s">
        <v>457</v>
      </c>
      <c r="B22" s="197" t="s">
        <v>275</v>
      </c>
      <c r="C22" s="197" t="s">
        <v>459</v>
      </c>
      <c r="D22" s="197" t="s">
        <v>460</v>
      </c>
      <c r="E22" s="127"/>
      <c r="F22" s="198" t="s">
        <v>176</v>
      </c>
      <c r="G22" s="130">
        <v>46312.0</v>
      </c>
      <c r="H22" s="206"/>
      <c r="I22" s="13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83" t="s">
        <v>463</v>
      </c>
      <c r="B23" s="185" t="s">
        <v>280</v>
      </c>
      <c r="C23" s="185" t="s">
        <v>464</v>
      </c>
      <c r="D23" s="185" t="s">
        <v>465</v>
      </c>
      <c r="E23" s="121"/>
      <c r="F23" s="189" t="s">
        <v>176</v>
      </c>
      <c r="G23" s="123">
        <v>46312.0</v>
      </c>
      <c r="H23" s="204"/>
      <c r="I23" s="13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94" t="s">
        <v>469</v>
      </c>
      <c r="B24" s="197" t="s">
        <v>284</v>
      </c>
      <c r="C24" s="197" t="s">
        <v>470</v>
      </c>
      <c r="D24" s="197" t="s">
        <v>471</v>
      </c>
      <c r="E24" s="127"/>
      <c r="F24" s="198" t="s">
        <v>176</v>
      </c>
      <c r="G24" s="130">
        <v>46312.0</v>
      </c>
      <c r="H24" s="206"/>
      <c r="I24" s="13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83" t="s">
        <v>472</v>
      </c>
      <c r="B25" s="185" t="s">
        <v>289</v>
      </c>
      <c r="C25" s="185" t="s">
        <v>474</v>
      </c>
      <c r="D25" s="185" t="s">
        <v>475</v>
      </c>
      <c r="E25" s="121"/>
      <c r="F25" s="189" t="s">
        <v>176</v>
      </c>
      <c r="G25" s="123">
        <v>46312.0</v>
      </c>
      <c r="H25" s="204"/>
      <c r="I25" s="13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94" t="s">
        <v>478</v>
      </c>
      <c r="B26" s="197" t="s">
        <v>293</v>
      </c>
      <c r="C26" s="197" t="s">
        <v>479</v>
      </c>
      <c r="D26" s="197" t="s">
        <v>480</v>
      </c>
      <c r="E26" s="127"/>
      <c r="F26" s="198" t="s">
        <v>176</v>
      </c>
      <c r="G26" s="130">
        <v>46312.0</v>
      </c>
      <c r="H26" s="206"/>
      <c r="I26" s="13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83" t="s">
        <v>485</v>
      </c>
      <c r="B27" s="185" t="s">
        <v>296</v>
      </c>
      <c r="C27" s="185" t="s">
        <v>486</v>
      </c>
      <c r="D27" s="185" t="s">
        <v>487</v>
      </c>
      <c r="E27" s="121"/>
      <c r="F27" s="189" t="s">
        <v>176</v>
      </c>
      <c r="G27" s="123">
        <v>46312.0</v>
      </c>
      <c r="H27" s="204"/>
      <c r="I27" s="13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94" t="s">
        <v>490</v>
      </c>
      <c r="B28" s="197" t="s">
        <v>299</v>
      </c>
      <c r="C28" s="197" t="s">
        <v>493</v>
      </c>
      <c r="D28" s="197" t="s">
        <v>494</v>
      </c>
      <c r="E28" s="127"/>
      <c r="F28" s="198" t="s">
        <v>176</v>
      </c>
      <c r="G28" s="130">
        <v>46312.0</v>
      </c>
      <c r="H28" s="206"/>
      <c r="I28" s="13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83" t="s">
        <v>496</v>
      </c>
      <c r="B29" s="185" t="s">
        <v>302</v>
      </c>
      <c r="C29" s="185" t="s">
        <v>497</v>
      </c>
      <c r="D29" s="185" t="s">
        <v>498</v>
      </c>
      <c r="E29" s="121"/>
      <c r="F29" s="189" t="s">
        <v>176</v>
      </c>
      <c r="G29" s="123">
        <v>46312.0</v>
      </c>
      <c r="H29" s="204"/>
      <c r="I29" s="13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4" t="s">
        <v>501</v>
      </c>
      <c r="B30" s="197" t="s">
        <v>305</v>
      </c>
      <c r="C30" s="197" t="s">
        <v>502</v>
      </c>
      <c r="D30" s="197" t="s">
        <v>503</v>
      </c>
      <c r="E30" s="127"/>
      <c r="F30" s="198" t="s">
        <v>176</v>
      </c>
      <c r="G30" s="130">
        <v>46312.0</v>
      </c>
      <c r="H30" s="206"/>
      <c r="I30" s="13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83" t="s">
        <v>508</v>
      </c>
      <c r="B31" s="185" t="s">
        <v>308</v>
      </c>
      <c r="C31" s="185" t="s">
        <v>510</v>
      </c>
      <c r="D31" s="185" t="s">
        <v>512</v>
      </c>
      <c r="E31" s="121"/>
      <c r="F31" s="189" t="s">
        <v>176</v>
      </c>
      <c r="G31" s="123">
        <v>46312.0</v>
      </c>
      <c r="H31" s="204"/>
      <c r="I31" s="13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94" t="s">
        <v>515</v>
      </c>
      <c r="B32" s="197" t="s">
        <v>313</v>
      </c>
      <c r="C32" s="197" t="s">
        <v>517</v>
      </c>
      <c r="D32" s="197" t="s">
        <v>519</v>
      </c>
      <c r="E32" s="127"/>
      <c r="F32" s="198" t="s">
        <v>176</v>
      </c>
      <c r="G32" s="130">
        <v>46312.0</v>
      </c>
      <c r="H32" s="206"/>
      <c r="I32" s="13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83" t="s">
        <v>520</v>
      </c>
      <c r="B33" s="185" t="s">
        <v>317</v>
      </c>
      <c r="C33" s="185" t="s">
        <v>522</v>
      </c>
      <c r="D33" s="185" t="s">
        <v>523</v>
      </c>
      <c r="E33" s="121"/>
      <c r="F33" s="189" t="s">
        <v>176</v>
      </c>
      <c r="G33" s="123">
        <v>46312.0</v>
      </c>
      <c r="H33" s="204"/>
      <c r="I33" s="13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18"/>
      <c r="B34" s="218"/>
      <c r="C34" s="218"/>
      <c r="D34" s="218"/>
      <c r="E34" s="218"/>
      <c r="F34" s="218"/>
      <c r="G34" s="218"/>
      <c r="H34" s="218"/>
      <c r="I34" s="14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14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14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14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14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14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14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14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14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14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14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14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14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14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14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14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14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14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14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14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14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14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14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14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14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14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14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14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14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14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14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14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14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14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14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14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14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14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14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14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14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14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14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14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14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14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14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14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14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14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14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14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14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14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14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14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14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14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14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14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14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14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14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14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14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14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14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14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14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14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14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14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14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14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14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14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14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14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14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14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14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14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14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14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14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14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14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14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14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14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14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14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14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14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14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14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14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14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14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14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14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14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14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14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14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14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14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14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14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14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14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14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14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14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14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14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14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14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14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14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14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14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14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14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14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14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14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14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14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14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14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14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14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14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14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14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14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14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14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14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14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14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14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14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14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14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14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14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14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14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14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14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14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14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14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14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14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14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14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14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14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14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14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14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14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14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14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14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14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14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14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14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14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14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14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14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14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14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14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14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14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14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14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14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14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14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14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14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14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14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14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14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14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14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14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14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14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14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14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14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14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14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14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14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14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14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14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14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14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14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14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14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14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14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14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14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14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14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14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14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14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14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14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14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14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14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14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14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14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14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14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14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14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14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14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14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14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14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14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14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14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14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14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14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14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14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14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14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14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14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14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14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14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14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14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14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14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14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14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14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14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14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14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14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14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14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14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14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14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14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14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14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14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14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14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14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14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14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14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14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14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14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14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14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14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14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14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14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14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14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14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14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14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14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14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14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14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14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14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14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14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14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14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14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14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14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14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14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14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14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14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14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14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14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14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14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14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14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14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14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14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14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14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14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14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14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14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14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14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14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14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14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14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14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14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14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14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14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14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14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14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14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14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14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14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14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14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14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14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14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14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14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14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14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14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14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14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14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14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14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14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14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14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14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14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14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14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14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14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14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14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14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14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14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14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14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14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14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14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14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14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14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14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14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14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14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14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14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14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14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14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14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14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14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14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14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14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14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14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14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14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14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14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14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14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14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14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14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14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14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14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14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14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14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14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14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14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14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14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14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14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14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14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14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14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14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14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14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14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14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14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14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14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14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14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14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14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14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14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14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14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14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14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14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14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14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14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14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14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14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14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14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14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14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14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14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14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14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14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14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14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14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14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14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14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14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14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14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14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14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14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14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14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14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14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14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14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14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14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14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14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14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14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14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14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14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14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14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14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14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14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14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14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14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14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14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14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14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14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14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14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14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14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14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14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14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14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14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14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14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14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14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14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14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14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14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14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14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14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14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14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14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14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14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14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14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14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14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14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14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14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14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14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14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14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14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14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14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14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14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14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14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14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14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14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14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14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14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14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14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14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14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14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14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14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14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14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14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14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14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14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14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14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14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14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14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14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14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14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14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14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14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14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14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14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14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14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14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14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14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14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14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14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14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14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14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14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14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14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14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14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14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14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14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14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14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14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14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14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14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14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14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14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14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14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14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14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14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14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14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14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14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14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14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14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14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14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14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14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14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14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14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14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14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14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14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14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14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14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14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14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14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14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14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14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14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14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14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14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14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14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14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14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14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14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14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14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14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14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14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14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14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14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14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14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14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14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14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14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14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14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14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14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14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14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14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14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14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14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14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14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14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14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14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14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14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14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14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14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14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14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14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14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14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14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14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14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14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14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14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14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14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14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14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14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14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14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14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14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14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14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14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14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14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14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14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14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14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14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14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14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14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14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14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14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14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14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14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14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14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14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14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14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14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14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14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14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14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14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14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14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14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14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14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14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14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14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14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14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14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14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14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14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14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14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14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14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14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14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14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14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14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14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14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14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14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14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14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14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14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14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14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14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14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14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14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14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14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14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14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14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14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14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14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14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14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14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14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14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14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14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14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14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14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14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14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14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14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14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14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14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14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14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14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14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14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14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14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14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14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14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14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14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14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14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14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14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14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14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14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14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14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14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14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14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14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14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14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14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14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14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14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14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14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14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14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14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14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14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14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14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14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14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14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14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14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14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14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14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14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14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14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14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14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14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14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14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14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14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14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14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14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14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14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14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14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14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14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14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14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14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14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14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14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14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14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14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14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14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14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14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14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14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14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14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14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14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14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14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14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14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14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14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14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14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14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14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14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14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14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14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14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14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14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14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14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14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14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14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14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14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14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14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14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14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14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14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14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14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14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14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14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14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14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14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14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14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14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14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14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14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14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14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14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14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14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14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14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14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14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14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14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14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14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14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14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14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14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14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14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14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14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14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14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14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14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14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14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14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14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14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14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148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148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148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148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148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148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148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148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148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148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148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148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148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148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148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Nhấp và nhập một giá trị từ danh sách các mục" sqref="F9:F33">
      <formula1>"Untested,Pass,Fail,Block"</formula1>
    </dataValidation>
    <dataValidation type="list" allowBlank="1" showInputMessage="1" showErrorMessage="1" prompt=" - " sqref="F1 F7:F8 F34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5.43"/>
    <col customWidth="1" min="3" max="3" width="24.71"/>
    <col customWidth="1" min="4" max="4" width="10.43"/>
    <col customWidth="1" min="5" max="6" width="10.29"/>
    <col customWidth="1" min="7" max="7" width="12.71"/>
    <col customWidth="1" min="8" max="8" width="11.71"/>
    <col customWidth="1" min="9" max="9" width="30.14"/>
    <col customWidth="1" min="10" max="26" width="9.14"/>
  </cols>
  <sheetData>
    <row r="1" ht="25.5" customHeight="1">
      <c r="A1" s="2"/>
      <c r="B1" s="163" t="s">
        <v>391</v>
      </c>
      <c r="C1" s="164"/>
      <c r="D1" s="164"/>
      <c r="E1" s="164"/>
      <c r="F1" s="164"/>
      <c r="G1" s="164"/>
      <c r="H1" s="16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67"/>
      <c r="B2" s="167"/>
      <c r="C2" s="2"/>
      <c r="D2" s="2"/>
      <c r="E2" s="2"/>
      <c r="F2" s="2"/>
      <c r="G2" s="2"/>
      <c r="H2" s="16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2"/>
      <c r="B3" s="169" t="s">
        <v>13</v>
      </c>
      <c r="C3" s="34" t="str">
        <f>Cover!C4</f>
        <v>Traveloka - Tìm kiếm chuyến bay</v>
      </c>
      <c r="D3" s="24"/>
      <c r="E3" s="170" t="s">
        <v>41</v>
      </c>
      <c r="F3" s="24"/>
      <c r="G3" s="171" t="s">
        <v>44</v>
      </c>
      <c r="H3" s="17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169" t="s">
        <v>49</v>
      </c>
      <c r="C4" s="34" t="str">
        <f>Cover!C5</f>
        <v>TVL_FL_SEARCH</v>
      </c>
      <c r="D4" s="24"/>
      <c r="E4" s="170" t="s">
        <v>51</v>
      </c>
      <c r="F4" s="24"/>
      <c r="G4" s="173" t="s">
        <v>54</v>
      </c>
      <c r="H4" s="17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174" t="s">
        <v>59</v>
      </c>
      <c r="C5" s="34" t="str">
        <f>C4&amp;"_"&amp;"Test Report"&amp;"_"&amp;"v0.1"</f>
        <v>TVL_FL_SEARCH_Test Report_v0.1</v>
      </c>
      <c r="D5" s="24"/>
      <c r="E5" s="170" t="s">
        <v>88</v>
      </c>
      <c r="F5" s="24"/>
      <c r="G5" s="175">
        <v>46312.0</v>
      </c>
      <c r="H5" s="17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75" customHeight="1">
      <c r="A6" s="167"/>
      <c r="B6" s="174" t="s">
        <v>394</v>
      </c>
      <c r="C6" s="42" t="s">
        <v>395</v>
      </c>
      <c r="D6" s="22"/>
      <c r="E6" s="22"/>
      <c r="F6" s="22"/>
      <c r="G6" s="22"/>
      <c r="H6" s="2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67"/>
      <c r="B7" s="57"/>
      <c r="C7" s="177"/>
      <c r="D7" s="2"/>
      <c r="E7" s="2"/>
      <c r="F7" s="2"/>
      <c r="G7" s="2"/>
      <c r="H7" s="16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57"/>
      <c r="C8" s="177"/>
      <c r="D8" s="2"/>
      <c r="E8" s="2"/>
      <c r="F8" s="2"/>
      <c r="G8" s="2"/>
      <c r="H8" s="16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178"/>
      <c r="C9" s="178"/>
      <c r="D9" s="178"/>
      <c r="E9" s="178"/>
      <c r="F9" s="178"/>
      <c r="G9" s="178"/>
      <c r="H9" s="178"/>
      <c r="I9" s="17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81"/>
      <c r="B10" s="182" t="s">
        <v>116</v>
      </c>
      <c r="C10" s="184" t="s">
        <v>397</v>
      </c>
      <c r="D10" s="186" t="s">
        <v>398</v>
      </c>
      <c r="E10" s="184" t="s">
        <v>400</v>
      </c>
      <c r="F10" s="184" t="s">
        <v>176</v>
      </c>
      <c r="G10" s="187" t="s">
        <v>165</v>
      </c>
      <c r="H10" s="188" t="s">
        <v>178</v>
      </c>
      <c r="I10" s="188" t="s">
        <v>402</v>
      </c>
      <c r="J10" s="19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81"/>
      <c r="B11" s="193">
        <v>1.0</v>
      </c>
      <c r="C11" s="196" t="str">
        <f>'Tìm kiếm chuyến bay'!B2</f>
        <v>Flight_Search</v>
      </c>
      <c r="D11" s="199">
        <f>'Tìm kiếm chuyến bay'!A6</f>
        <v>0</v>
      </c>
      <c r="E11" s="199">
        <f>'Tìm kiếm chuyến bay'!B6</f>
        <v>0</v>
      </c>
      <c r="F11" s="199">
        <f>'Tìm kiếm chuyến bay'!C6</f>
        <v>25</v>
      </c>
      <c r="G11" s="202">
        <f>'Tìm kiếm chuyến bay'!D6</f>
        <v>0</v>
      </c>
      <c r="H11" s="202">
        <f>'Tìm kiếm chuyến bay'!E6</f>
        <v>0</v>
      </c>
      <c r="I11" s="205">
        <f>'Tìm kiếm chuyến bay'!F6</f>
        <v>25</v>
      </c>
      <c r="J11" s="19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81"/>
      <c r="B12" s="193">
        <v>2.0</v>
      </c>
      <c r="C12" s="196" t="str">
        <f>'Xem danh sách và chọn chuyến ba'!B2</f>
        <v>Flight_Select</v>
      </c>
      <c r="D12" s="199">
        <f>'Xem danh sách và chọn chuyến ba'!A6</f>
        <v>0</v>
      </c>
      <c r="E12" s="199">
        <f>'Xem danh sách và chọn chuyến ba'!B6</f>
        <v>0</v>
      </c>
      <c r="F12" s="199">
        <f>'Xem danh sách và chọn chuyến ba'!C6</f>
        <v>25</v>
      </c>
      <c r="G12" s="202">
        <f>'Xem danh sách và chọn chuyến ba'!D6</f>
        <v>0</v>
      </c>
      <c r="H12" s="202">
        <f>'Xem danh sách và chọn chuyến ba'!E6</f>
        <v>0</v>
      </c>
      <c r="I12" s="205">
        <f>'Xem danh sách và chọn chuyến ba'!F6</f>
        <v>25</v>
      </c>
      <c r="J12" s="19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81"/>
      <c r="B13" s="193">
        <v>3.0</v>
      </c>
      <c r="C13" s="196" t="str">
        <f>'Đặt chỗ và thanh toán'!B2</f>
        <v>Flight_Payment</v>
      </c>
      <c r="D13" s="199">
        <f>'Đặt chỗ và thanh toán'!A6</f>
        <v>0</v>
      </c>
      <c r="E13" s="199">
        <f>'Đặt chỗ và thanh toán'!B6</f>
        <v>0</v>
      </c>
      <c r="F13" s="199">
        <f>'Đặt chỗ và thanh toán'!C6</f>
        <v>25</v>
      </c>
      <c r="G13" s="199">
        <f>'Đặt chỗ và thanh toán'!D6</f>
        <v>0</v>
      </c>
      <c r="H13" s="199">
        <f>'Đặt chỗ và thanh toán'!E6</f>
        <v>0</v>
      </c>
      <c r="I13" s="205">
        <f>'Đặt chỗ và thanh toán'!F6</f>
        <v>25</v>
      </c>
      <c r="J13" s="19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08"/>
      <c r="B14" s="209"/>
      <c r="C14" s="210"/>
      <c r="D14" s="210"/>
      <c r="E14" s="210"/>
      <c r="F14" s="210"/>
      <c r="G14" s="211"/>
      <c r="H14" s="211"/>
      <c r="I14" s="212"/>
      <c r="J14" s="19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08"/>
      <c r="B15" s="213"/>
      <c r="C15" s="214" t="s">
        <v>507</v>
      </c>
      <c r="D15" s="215">
        <f t="shared" ref="D15:I15" si="1">SUM(D11:D13)</f>
        <v>0</v>
      </c>
      <c r="E15" s="216">
        <f t="shared" si="1"/>
        <v>0</v>
      </c>
      <c r="F15" s="216">
        <f t="shared" si="1"/>
        <v>75</v>
      </c>
      <c r="G15" s="216">
        <f t="shared" si="1"/>
        <v>0</v>
      </c>
      <c r="H15" s="217">
        <f t="shared" si="1"/>
        <v>0</v>
      </c>
      <c r="I15" s="217">
        <f t="shared" si="1"/>
        <v>75</v>
      </c>
      <c r="J15" s="19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19"/>
      <c r="C16" s="2"/>
      <c r="D16" s="220"/>
      <c r="E16" s="221"/>
      <c r="F16" s="221"/>
      <c r="G16" s="221"/>
      <c r="H16" s="222"/>
      <c r="I16" s="21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7" t="s">
        <v>535</v>
      </c>
      <c r="D17" s="2"/>
      <c r="E17" s="223">
        <f>(D15+E15)*100/(I15-H15-G15)</f>
        <v>0</v>
      </c>
      <c r="F17" s="2" t="s">
        <v>545</v>
      </c>
      <c r="G17" s="2"/>
      <c r="H17" s="11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7" t="s">
        <v>549</v>
      </c>
      <c r="D18" s="2"/>
      <c r="E18" s="223" t="str">
        <f>D15*100/(D15+E15)</f>
        <v>#DIV/0!</v>
      </c>
      <c r="F18" s="2" t="s">
        <v>545</v>
      </c>
      <c r="G18" s="2"/>
      <c r="H18" s="11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